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ownload\"/>
    </mc:Choice>
  </mc:AlternateContent>
  <xr:revisionPtr revIDLastSave="0" documentId="13_ncr:1_{F937371D-8240-4569-939C-DF4674675AF3}" xr6:coauthVersionLast="47" xr6:coauthVersionMax="47" xr10:uidLastSave="{00000000-0000-0000-0000-000000000000}"/>
  <bookViews>
    <workbookView xWindow="-2235" yWindow="3495" windowWidth="21345" windowHeight="15645" firstSheet="1" activeTab="5" xr2:uid="{00000000-000D-0000-FFFF-FFFF00000000}"/>
  </bookViews>
  <sheets>
    <sheet name="READ ME FIRST" sheetId="1" r:id="rId1"/>
    <sheet name="Latency Calculator" sheetId="2" r:id="rId2"/>
    <sheet name="Model Explanations" sheetId="3" r:id="rId3"/>
    <sheet name="Pipeline_Model" sheetId="4" r:id="rId4"/>
    <sheet name="Queue_Stress_Test" sheetId="5" r:id="rId5"/>
    <sheet name="Dashboard"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6" l="1"/>
  <c r="A20" i="6"/>
  <c r="A19" i="6"/>
  <c r="A18" i="6"/>
  <c r="A17" i="6"/>
  <c r="A16" i="6"/>
  <c r="A15" i="6"/>
  <c r="A14" i="6"/>
  <c r="A13" i="6"/>
  <c r="A12" i="6"/>
  <c r="A11" i="6"/>
  <c r="A10" i="6"/>
  <c r="A9" i="6"/>
  <c r="A8" i="6"/>
  <c r="A7" i="6"/>
  <c r="A6" i="6"/>
  <c r="A5" i="6"/>
  <c r="A4" i="6"/>
  <c r="A3" i="6"/>
  <c r="A2" i="6"/>
  <c r="B56" i="5"/>
  <c r="C56" i="5" s="1"/>
  <c r="D56" i="5" s="1"/>
  <c r="B55" i="5"/>
  <c r="C55" i="5" s="1"/>
  <c r="D55" i="5" s="1"/>
  <c r="B54" i="5"/>
  <c r="C54" i="5" s="1"/>
  <c r="D54" i="5" s="1"/>
  <c r="B53" i="5"/>
  <c r="C53" i="5" s="1"/>
  <c r="D53" i="5" s="1"/>
  <c r="B52" i="5"/>
  <c r="C52" i="5" s="1"/>
  <c r="D52" i="5" s="1"/>
  <c r="B51" i="5"/>
  <c r="C51" i="5" s="1"/>
  <c r="D51" i="5" s="1"/>
  <c r="B50" i="5"/>
  <c r="C50" i="5" s="1"/>
  <c r="D50" i="5" s="1"/>
  <c r="B49" i="5"/>
  <c r="C49" i="5" s="1"/>
  <c r="D49" i="5" s="1"/>
  <c r="B48" i="5"/>
  <c r="C48" i="5" s="1"/>
  <c r="D48" i="5" s="1"/>
  <c r="B47" i="5"/>
  <c r="C47" i="5" s="1"/>
  <c r="D47" i="5" s="1"/>
  <c r="B46" i="5"/>
  <c r="C46" i="5" s="1"/>
  <c r="D46" i="5" s="1"/>
  <c r="B45" i="5"/>
  <c r="C45" i="5" s="1"/>
  <c r="D45" i="5" s="1"/>
  <c r="B44" i="5"/>
  <c r="C44" i="5" s="1"/>
  <c r="D44" i="5" s="1"/>
  <c r="B43" i="5"/>
  <c r="C43" i="5" s="1"/>
  <c r="D43" i="5" s="1"/>
  <c r="B42" i="5"/>
  <c r="C42" i="5" s="1"/>
  <c r="D42" i="5" s="1"/>
  <c r="B41" i="5"/>
  <c r="C41" i="5" s="1"/>
  <c r="D41" i="5" s="1"/>
  <c r="B40" i="5"/>
  <c r="C40" i="5" s="1"/>
  <c r="D40" i="5" s="1"/>
  <c r="B39" i="5"/>
  <c r="C39" i="5" s="1"/>
  <c r="D39" i="5" s="1"/>
  <c r="C38" i="5"/>
  <c r="D38" i="5" s="1"/>
  <c r="B38" i="5"/>
  <c r="C37" i="5"/>
  <c r="D37" i="5" s="1"/>
  <c r="B37" i="5"/>
  <c r="C36" i="5"/>
  <c r="D36" i="5" s="1"/>
  <c r="B36" i="5"/>
  <c r="C35" i="5"/>
  <c r="D35" i="5" s="1"/>
  <c r="B35" i="5"/>
  <c r="C34" i="5"/>
  <c r="D34" i="5" s="1"/>
  <c r="B34" i="5"/>
  <c r="C33" i="5"/>
  <c r="D33" i="5" s="1"/>
  <c r="B33" i="5"/>
  <c r="C32" i="5"/>
  <c r="D32" i="5" s="1"/>
  <c r="B32" i="5"/>
  <c r="C31" i="5"/>
  <c r="D31" i="5" s="1"/>
  <c r="B31" i="5"/>
  <c r="B30" i="5"/>
  <c r="C30" i="5" s="1"/>
  <c r="D30" i="5" s="1"/>
  <c r="B29" i="5"/>
  <c r="C29" i="5" s="1"/>
  <c r="D29" i="5" s="1"/>
  <c r="B28" i="5"/>
  <c r="C28" i="5" s="1"/>
  <c r="D28" i="5" s="1"/>
  <c r="B27" i="5"/>
  <c r="C27" i="5" s="1"/>
  <c r="D27" i="5" s="1"/>
  <c r="B26" i="5"/>
  <c r="C26" i="5" s="1"/>
  <c r="D26" i="5" s="1"/>
  <c r="B25" i="5"/>
  <c r="C25" i="5" s="1"/>
  <c r="D25" i="5" s="1"/>
  <c r="B24" i="5"/>
  <c r="C24" i="5" s="1"/>
  <c r="D24" i="5" s="1"/>
  <c r="B23" i="5"/>
  <c r="C23" i="5" s="1"/>
  <c r="D23" i="5" s="1"/>
  <c r="B22" i="5"/>
  <c r="C22" i="5" s="1"/>
  <c r="D22" i="5" s="1"/>
  <c r="B21" i="5"/>
  <c r="C21" i="5" s="1"/>
  <c r="D21" i="5" s="1"/>
  <c r="B20" i="5"/>
  <c r="C20" i="5" s="1"/>
  <c r="D20" i="5" s="1"/>
  <c r="B19" i="5"/>
  <c r="C19" i="5" s="1"/>
  <c r="D19" i="5" s="1"/>
  <c r="B18" i="5"/>
  <c r="C18" i="5" s="1"/>
  <c r="D18" i="5" s="1"/>
  <c r="B17" i="5"/>
  <c r="C17" i="5" s="1"/>
  <c r="D17" i="5" s="1"/>
  <c r="B16" i="5"/>
  <c r="C16" i="5" s="1"/>
  <c r="D16" i="5" s="1"/>
  <c r="B15" i="5"/>
  <c r="C15" i="5" s="1"/>
  <c r="D15" i="5" s="1"/>
  <c r="B14" i="5"/>
  <c r="C14" i="5" s="1"/>
  <c r="D14" i="5" s="1"/>
  <c r="B13" i="5"/>
  <c r="C13" i="5" s="1"/>
  <c r="D13" i="5" s="1"/>
  <c r="B12" i="5"/>
  <c r="C12" i="5" s="1"/>
  <c r="D12" i="5" s="1"/>
  <c r="B11" i="5"/>
  <c r="C11" i="5" s="1"/>
  <c r="D11" i="5" s="1"/>
  <c r="C10" i="5"/>
  <c r="D10" i="5" s="1"/>
  <c r="B10" i="5"/>
  <c r="C9" i="5"/>
  <c r="D9" i="5" s="1"/>
  <c r="B9" i="5"/>
  <c r="C8" i="5"/>
  <c r="D8" i="5" s="1"/>
  <c r="B8" i="5"/>
  <c r="C7" i="5"/>
  <c r="D7" i="5" s="1"/>
  <c r="B7" i="5"/>
  <c r="B24" i="4"/>
  <c r="L21" i="4"/>
  <c r="I21" i="4"/>
  <c r="E21" i="4"/>
  <c r="M21" i="4" s="1"/>
  <c r="B21" i="6" s="1"/>
  <c r="L20" i="4"/>
  <c r="I20" i="4"/>
  <c r="E20" i="4"/>
  <c r="M20" i="4" s="1"/>
  <c r="B20" i="6" s="1"/>
  <c r="M19" i="4"/>
  <c r="B19" i="6" s="1"/>
  <c r="L19" i="4"/>
  <c r="I19" i="4"/>
  <c r="E19" i="4"/>
  <c r="L18" i="4"/>
  <c r="I18" i="4"/>
  <c r="E18" i="4"/>
  <c r="M18" i="4" s="1"/>
  <c r="B18" i="6" s="1"/>
  <c r="L17" i="4"/>
  <c r="I17" i="4"/>
  <c r="E17" i="4"/>
  <c r="M17" i="4" s="1"/>
  <c r="B17" i="6" s="1"/>
  <c r="L16" i="4"/>
  <c r="I16" i="4"/>
  <c r="E16" i="4"/>
  <c r="M16" i="4" s="1"/>
  <c r="B16" i="6" s="1"/>
  <c r="L15" i="4"/>
  <c r="I15" i="4"/>
  <c r="E15" i="4"/>
  <c r="M15" i="4" s="1"/>
  <c r="B15" i="6" s="1"/>
  <c r="L14" i="4"/>
  <c r="I14" i="4"/>
  <c r="E14" i="4"/>
  <c r="M14" i="4" s="1"/>
  <c r="B14" i="6" s="1"/>
  <c r="L13" i="4"/>
  <c r="I13" i="4"/>
  <c r="E13" i="4"/>
  <c r="M13" i="4" s="1"/>
  <c r="B13" i="6" s="1"/>
  <c r="M12" i="4"/>
  <c r="B12" i="6" s="1"/>
  <c r="L12" i="4"/>
  <c r="I12" i="4"/>
  <c r="E12" i="4"/>
  <c r="L11" i="4"/>
  <c r="I11" i="4"/>
  <c r="E11" i="4"/>
  <c r="M11" i="4" s="1"/>
  <c r="B11" i="6" s="1"/>
  <c r="L10" i="4"/>
  <c r="I10" i="4"/>
  <c r="E10" i="4"/>
  <c r="M10" i="4" s="1"/>
  <c r="B10" i="6" s="1"/>
  <c r="L9" i="4"/>
  <c r="I9" i="4"/>
  <c r="E9" i="4"/>
  <c r="M9" i="4" s="1"/>
  <c r="B9" i="6" s="1"/>
  <c r="L8" i="4"/>
  <c r="I8" i="4"/>
  <c r="E8" i="4"/>
  <c r="M8" i="4" s="1"/>
  <c r="B8" i="6" s="1"/>
  <c r="L7" i="4"/>
  <c r="I7" i="4"/>
  <c r="E7" i="4"/>
  <c r="M7" i="4" s="1"/>
  <c r="B7" i="6" s="1"/>
  <c r="L6" i="4"/>
  <c r="I6" i="4"/>
  <c r="E6" i="4"/>
  <c r="M6" i="4" s="1"/>
  <c r="B6" i="6" s="1"/>
  <c r="M5" i="4"/>
  <c r="B5" i="6" s="1"/>
  <c r="L5" i="4"/>
  <c r="I5" i="4"/>
  <c r="E5" i="4"/>
  <c r="L4" i="4"/>
  <c r="I4" i="4"/>
  <c r="E4" i="4"/>
  <c r="M4" i="4" s="1"/>
  <c r="B4" i="6" s="1"/>
  <c r="L3" i="4"/>
  <c r="I3" i="4"/>
  <c r="E3" i="4"/>
  <c r="M3" i="4" s="1"/>
  <c r="B3" i="6" s="1"/>
  <c r="L2" i="4"/>
  <c r="I2" i="4"/>
  <c r="E2" i="4"/>
  <c r="M2" i="4" s="1"/>
  <c r="B16" i="2"/>
  <c r="B15" i="2"/>
  <c r="B14" i="2"/>
  <c r="B13" i="2"/>
  <c r="B17" i="2" s="1"/>
  <c r="E21" i="6" l="1"/>
  <c r="E2" i="6"/>
  <c r="E11" i="6"/>
  <c r="E20" i="6"/>
  <c r="E10" i="6"/>
  <c r="E19" i="6"/>
  <c r="E9" i="6"/>
  <c r="E18" i="6"/>
  <c r="E8" i="6"/>
  <c r="E17" i="6"/>
  <c r="E7" i="6"/>
  <c r="E16" i="6"/>
  <c r="E6" i="6"/>
  <c r="E15" i="6"/>
  <c r="E5" i="6"/>
  <c r="E14" i="6"/>
  <c r="E4" i="6"/>
  <c r="E13" i="6"/>
  <c r="B2" i="6"/>
  <c r="B23" i="4"/>
  <c r="E3" i="6"/>
  <c r="E12" i="6"/>
</calcChain>
</file>

<file path=xl/sharedStrings.xml><?xml version="1.0" encoding="utf-8"?>
<sst xmlns="http://schemas.openxmlformats.org/spreadsheetml/2006/main" count="117" uniqueCount="98">
  <si>
    <t>Purpose:</t>
  </si>
  <si>
    <t>This workbook estimates, visualizes, and stress-tests latency across a counter-UAS system. Use it for fixed-site, mobile, or modular architectures.</t>
  </si>
  <si>
    <t>How to Use Each Sheet:</t>
  </si>
  <si>
    <t>1. Latency Calculator (Single Layer):</t>
  </si>
  <si>
    <t>Use this sheet to estimate latency for one component. Enter parameters; the sheet computes processing, queueing, transmission, propagation, and total delay.</t>
  </si>
  <si>
    <t>2. Pipeline_Model (Full System):</t>
  </si>
  <si>
    <t>Each row is one layer in the C-UAS chain. Fill in cycles/bit, bits, CPU rate, packet size, bandwidth, distance, and optional queueing. The sheet computes per-layer latency and total end-to-end latency.</t>
  </si>
  <si>
    <t>3. Dashboard (Visual Summary):</t>
  </si>
  <si>
    <t>Shows per-layer latency contribution, cumulative latency, and overall system behavior.</t>
  </si>
  <si>
    <t>4. Queue_Stress_Test (Overload Behavior):</t>
  </si>
  <si>
    <t>Set μ, utilization range, and steps. The chart shows the hockey-stick curve as λ approaches μ.</t>
  </si>
  <si>
    <t>5. Model Explanations (Reference):</t>
  </si>
  <si>
    <t>Descriptions of Simple Additive, UAS-Specific, M/M/1 Queueing, and Practical Rule-of-Thumb models.</t>
  </si>
  <si>
    <t>Recommended Starting Point (Fixed-Site C-UAS, ~100 People):</t>
  </si>
  <si>
    <t>Begin with the prefilled example layers in Pipeline_Model. Adjust only the layers you use; everything updates automatically.</t>
  </si>
  <si>
    <t>Parameter</t>
  </si>
  <si>
    <t>Value</t>
  </si>
  <si>
    <t>Units</t>
  </si>
  <si>
    <t>C_cycles_per_bit</t>
  </si>
  <si>
    <t>cycles/bit</t>
  </si>
  <si>
    <t>P_bits</t>
  </si>
  <si>
    <t>bits</t>
  </si>
  <si>
    <t>f_CPU</t>
  </si>
  <si>
    <t>Hz</t>
  </si>
  <si>
    <t>mu</t>
  </si>
  <si>
    <t>packets/sec</t>
  </si>
  <si>
    <t>lambda</t>
  </si>
  <si>
    <t>packet_size</t>
  </si>
  <si>
    <t>link_bandwidth</t>
  </si>
  <si>
    <t>bits/sec</t>
  </si>
  <si>
    <t>distance</t>
  </si>
  <si>
    <t>meters</t>
  </si>
  <si>
    <t>signal_speed</t>
  </si>
  <si>
    <t>m/s</t>
  </si>
  <si>
    <t>Outputs</t>
  </si>
  <si>
    <t>L_proc</t>
  </si>
  <si>
    <t>seconds</t>
  </si>
  <si>
    <t>L_queue</t>
  </si>
  <si>
    <t>L_tx</t>
  </si>
  <si>
    <t>L_prop</t>
  </si>
  <si>
    <t>L_total</t>
  </si>
  <si>
    <t>Simple Additive Model</t>
  </si>
  <si>
    <t>This model estimates total latency by summing the delays from each layer in a system. Each layer contributes four types of delays:</t>
  </si>
  <si>
    <t>- Processing delay (L_proc): Time taken by the processor to handle the data.</t>
  </si>
  <si>
    <t>- Queueing delay (L_queue): Time data waits in a buffer before processing.</t>
  </si>
  <si>
    <t>- Transmission delay (L_tx): Time to push all bits of the packet onto the link.</t>
  </si>
  <si>
    <t>- Propagation delay (L_prop): Time for signal to travel through the medium.</t>
  </si>
  <si>
    <t>The total latency is the sum of these components across all layers.</t>
  </si>
  <si>
    <t>UAS-Specific Model</t>
  </si>
  <si>
    <t>This model adapts the additive latency model to Unmanned Aerial Systems (UAS). It includes delays from sensing, node processing, uplink transmission, UAV processing, link transmission, network traversal, and application server processing. Each processing delay is calculated as:</t>
  </si>
  <si>
    <t>L_proc = (C_cycles_per_bit × P_bits) / f_CPU</t>
  </si>
  <si>
    <t>This model is useful for estimating latency in drone and wireless sensor network systems.</t>
  </si>
  <si>
    <t>M/M/1 Queueing</t>
  </si>
  <si>
    <t>This model accounts for queueing delays under load. It assumes a single server queue with Poisson arrivals and exponential service times. The queueing delay is given by:</t>
  </si>
  <si>
    <t>L_queue = 1 / (μ - λ)</t>
  </si>
  <si>
    <t>Where μ is the service rate and λ is the arrival rate. As utilization (λ/μ) approaches 1, the delay increases rapidly, indicating potential system overload.</t>
  </si>
  <si>
    <t>Practical Rule of Thumb</t>
  </si>
  <si>
    <t>For prototyping and testing:</t>
  </si>
  <si>
    <t>- Measure each layer's delay independently using GPIO toggles or timestamps.</t>
  </si>
  <si>
    <t>- Sum the delays for a rough total latency estimate.</t>
  </si>
  <si>
    <t>- Add 20-30% margin for queueing and jitter under load.</t>
  </si>
  <si>
    <t>- If any layer exceeds ~70% utilization, use the M/M/1 model for that layer.</t>
  </si>
  <si>
    <t>This approach provides a quick and reasonably accurate latency estimate for embedded systems.</t>
  </si>
  <si>
    <t>Layer</t>
  </si>
  <si>
    <t>L_layer_total</t>
  </si>
  <si>
    <t>Layer 1</t>
  </si>
  <si>
    <t>Layer 2</t>
  </si>
  <si>
    <t>Layer 3</t>
  </si>
  <si>
    <t>Layer 4</t>
  </si>
  <si>
    <t>Layer 5</t>
  </si>
  <si>
    <t>Layer 6</t>
  </si>
  <si>
    <t>Layer 7</t>
  </si>
  <si>
    <t>Layer 8</t>
  </si>
  <si>
    <t>Layer 9</t>
  </si>
  <si>
    <t>Layer 10</t>
  </si>
  <si>
    <t>Layer 11</t>
  </si>
  <si>
    <t>Layer 12</t>
  </si>
  <si>
    <t>Layer 13</t>
  </si>
  <si>
    <t>Layer 14</t>
  </si>
  <si>
    <t>Layer 15</t>
  </si>
  <si>
    <t>Layer 16</t>
  </si>
  <si>
    <t>Layer 17</t>
  </si>
  <si>
    <t>Layer 18</t>
  </si>
  <si>
    <t>Layer 19</t>
  </si>
  <si>
    <t>Layer 20</t>
  </si>
  <si>
    <t>Total Pipeline Latency</t>
  </si>
  <si>
    <t>Number of Layers</t>
  </si>
  <si>
    <t>Service rate μ (packets/sec)</t>
  </si>
  <si>
    <t>Min utilization</t>
  </si>
  <si>
    <t>Max utilization</t>
  </si>
  <si>
    <t>Steps</t>
  </si>
  <si>
    <t>Step</t>
  </si>
  <si>
    <t>Utilization (ρ = λ/μ)</t>
  </si>
  <si>
    <t>λ (arrival rate)</t>
  </si>
  <si>
    <t>Latency_sec</t>
  </si>
  <si>
    <t>Layers_Included</t>
  </si>
  <si>
    <t>Cumulative_Latency</t>
  </si>
  <si>
    <t>C-UAS LATENCY ANALYSIS WORKBOOK — TECHNICAL REFERENCE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</si>
</sst>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2"/>
      <color theme="1"/>
      <name val="Segoe UI"/>
    </font>
    <font>
      <b/>
      <sz val="14"/>
      <color rgb="FFFFFFFF"/>
      <name val="Segoe UI"/>
    </font>
    <font>
      <sz val="12"/>
      <color rgb="FF1A2B4A"/>
      <name val="Consolas"/>
    </font>
    <font>
      <i/>
      <sz val="12"/>
      <color rgb="FF666666"/>
      <name val="Segoe UI"/>
      <family val="2"/>
    </font>
    <font>
      <sz val="8"/>
      <name val="Calibri"/>
      <family val="2"/>
      <scheme val="minor"/>
    </font>
    <font>
      <b/>
      <sz val="12"/>
      <color rgb="FF1A2B4A"/>
      <name val="Segoe UI"/>
      <family val="2"/>
    </font>
    <font>
      <b/>
      <sz val="12"/>
      <color rgb="FF333333"/>
      <name val="Segoe UI"/>
      <family val="2"/>
    </font>
    <font>
      <sz val="12"/>
      <color rgb="FF333333"/>
      <name val="Segoe UI"/>
      <family val="2"/>
    </font>
    <font>
      <b/>
      <sz val="14"/>
      <color rgb="FF333333"/>
      <name val="Segoe UI"/>
      <family val="2"/>
    </font>
    <font>
      <b/>
      <sz val="14"/>
      <color rgb="FF1A2B4A"/>
      <name val="Segoe UI"/>
      <family val="2"/>
    </font>
    <font>
      <sz val="12"/>
      <color rgb="FF333333"/>
      <name val="Consolas"/>
      <family val="3"/>
    </font>
    <font>
      <sz val="12"/>
      <color rgb="FF666666"/>
      <name val="Segoe UI"/>
      <family val="2"/>
    </font>
    <font>
      <b/>
      <i/>
      <sz val="12"/>
      <color rgb="FF666666"/>
      <name val="Segoe UI"/>
      <family val="2"/>
    </font>
    <font>
      <sz val="12"/>
      <color rgb="FF1A2B4A"/>
      <name val="Consolas"/>
      <family val="3"/>
    </font>
    <font>
      <sz val="11"/>
      <color rgb="FF333333"/>
      <name val="Consolas"/>
      <family val="3"/>
    </font>
    <font>
      <sz val="11"/>
      <color rgb="FF666666"/>
      <name val="Consolas"/>
      <family val="3"/>
    </font>
  </fonts>
  <fills count="13">
    <fill>
      <patternFill patternType="none"/>
    </fill>
    <fill>
      <patternFill patternType="gray125"/>
    </fill>
    <fill>
      <patternFill patternType="solid">
        <fgColor rgb="FFD9D9D9"/>
        <bgColor rgb="FFD9D9D9"/>
      </patternFill>
    </fill>
    <fill>
      <patternFill patternType="solid">
        <fgColor rgb="FF1A2B4A"/>
        <bgColor indexed="64"/>
      </patternFill>
    </fill>
    <fill>
      <patternFill patternType="solid">
        <fgColor rgb="FF2C3E5A"/>
        <bgColor indexed="64"/>
      </patternFill>
    </fill>
    <fill>
      <patternFill patternType="solid">
        <fgColor rgb="FFF5F5F5"/>
        <bgColor indexed="64"/>
      </patternFill>
    </fill>
    <fill>
      <patternFill patternType="solid">
        <fgColor rgb="FFE8F0E8"/>
        <bgColor indexed="64"/>
      </patternFill>
    </fill>
    <fill>
      <patternFill patternType="solid">
        <fgColor rgb="FFFFF9E6"/>
        <bgColor indexed="64"/>
      </patternFill>
    </fill>
    <fill>
      <patternFill patternType="solid">
        <fgColor rgb="FFE8F4E8"/>
        <bgColor indexed="64"/>
      </patternFill>
    </fill>
    <fill>
      <patternFill patternType="solid">
        <fgColor rgb="FFF0F4F8"/>
        <bgColor indexed="64"/>
      </patternFill>
    </fill>
    <fill>
      <patternFill patternType="solid">
        <fgColor rgb="FFE6F0FA"/>
        <bgColor indexed="64"/>
      </patternFill>
    </fill>
    <fill>
      <patternFill patternType="solid">
        <fgColor rgb="FFF0F0F0"/>
        <bgColor indexed="64"/>
      </patternFill>
    </fill>
    <fill>
      <patternFill patternType="solid">
        <fgColor rgb="FFFAFAFA"/>
        <bgColor indexed="64"/>
      </patternFill>
    </fill>
  </fills>
  <borders count="46">
    <border>
      <left/>
      <right/>
      <top/>
      <bottom/>
      <diagonal/>
    </border>
    <border>
      <left style="thin">
        <color rgb="FFB0B0B0"/>
      </left>
      <right/>
      <top/>
      <bottom/>
      <diagonal/>
    </border>
    <border>
      <left/>
      <right style="thin">
        <color rgb="FFB0B0B0"/>
      </right>
      <top/>
      <bottom/>
      <diagonal/>
    </border>
    <border>
      <left style="thin">
        <color rgb="FFB0B0B0"/>
      </left>
      <right/>
      <top style="thin">
        <color rgb="FFB0B0B0"/>
      </top>
      <bottom/>
      <diagonal/>
    </border>
    <border>
      <left/>
      <right style="thin">
        <color rgb="FFB0B0B0"/>
      </right>
      <top style="thin">
        <color rgb="FFB0B0B0"/>
      </top>
      <bottom/>
      <diagonal/>
    </border>
    <border>
      <left style="thin">
        <color rgb="FFB0B0B0"/>
      </left>
      <right/>
      <top/>
      <bottom style="thin">
        <color rgb="FFB0B0B0"/>
      </bottom>
      <diagonal/>
    </border>
    <border>
      <left/>
      <right style="thin">
        <color rgb="FFB0B0B0"/>
      </right>
      <top/>
      <bottom style="thin">
        <color rgb="FFB0B0B0"/>
      </bottom>
      <diagonal/>
    </border>
    <border>
      <left style="thin">
        <color rgb="FF1A2B4A"/>
      </left>
      <right/>
      <top/>
      <bottom/>
      <diagonal/>
    </border>
    <border>
      <left/>
      <right style="thin">
        <color rgb="FF1A2B4A"/>
      </right>
      <top/>
      <bottom/>
      <diagonal/>
    </border>
    <border>
      <left style="thin">
        <color rgb="FF1A2B4A"/>
      </left>
      <right/>
      <top style="thin">
        <color rgb="FF1A2B4A"/>
      </top>
      <bottom/>
      <diagonal/>
    </border>
    <border>
      <left/>
      <right style="thin">
        <color rgb="FF1A2B4A"/>
      </right>
      <top style="thin">
        <color rgb="FF1A2B4A"/>
      </top>
      <bottom/>
      <diagonal/>
    </border>
    <border>
      <left style="thin">
        <color rgb="FF1A2B4A"/>
      </left>
      <right/>
      <top/>
      <bottom style="thin">
        <color rgb="FF1A2B4A"/>
      </bottom>
      <diagonal/>
    </border>
    <border>
      <left/>
      <right style="thin">
        <color rgb="FF1A2B4A"/>
      </right>
      <top/>
      <bottom style="thin">
        <color rgb="FF1A2B4A"/>
      </bottom>
      <diagonal/>
    </border>
    <border>
      <left style="thin">
        <color rgb="FFB0B0B0"/>
      </left>
      <right style="thin">
        <color rgb="FFD0D0D0"/>
      </right>
      <top style="thin">
        <color rgb="FFB0B0B0"/>
      </top>
      <bottom style="thin">
        <color rgb="FFE0E0E0"/>
      </bottom>
      <diagonal/>
    </border>
    <border>
      <left style="thin">
        <color rgb="FFD0D0D0"/>
      </left>
      <right style="thin">
        <color rgb="FFB0B0B0"/>
      </right>
      <top style="thin">
        <color rgb="FFB0B0B0"/>
      </top>
      <bottom style="thin">
        <color rgb="FFE0E0E0"/>
      </bottom>
      <diagonal/>
    </border>
    <border>
      <left style="thin">
        <color rgb="FFB0B0B0"/>
      </left>
      <right style="thin">
        <color rgb="FFD0D0D0"/>
      </right>
      <top style="thin">
        <color rgb="FFE0E0E0"/>
      </top>
      <bottom style="thin">
        <color rgb="FFE0E0E0"/>
      </bottom>
      <diagonal/>
    </border>
    <border>
      <left style="thin">
        <color rgb="FFD0D0D0"/>
      </left>
      <right style="thin">
        <color rgb="FFD0D0D0"/>
      </right>
      <top style="thin">
        <color rgb="FFE0E0E0"/>
      </top>
      <bottom style="thin">
        <color rgb="FFE0E0E0"/>
      </bottom>
      <diagonal/>
    </border>
    <border>
      <left style="thin">
        <color rgb="FFD0D0D0"/>
      </left>
      <right style="thin">
        <color rgb="FFB0B0B0"/>
      </right>
      <top style="thin">
        <color rgb="FFE0E0E0"/>
      </top>
      <bottom style="thin">
        <color rgb="FFE0E0E0"/>
      </bottom>
      <diagonal/>
    </border>
    <border>
      <left style="thin">
        <color rgb="FFB0B0B0"/>
      </left>
      <right style="thin">
        <color rgb="FFD0D0D0"/>
      </right>
      <top style="thin">
        <color rgb="FFE0E0E0"/>
      </top>
      <bottom style="thin">
        <color rgb="FFB0B0B0"/>
      </bottom>
      <diagonal/>
    </border>
    <border>
      <left style="thin">
        <color rgb="FFD0D0D0"/>
      </left>
      <right style="thin">
        <color rgb="FFB0B0B0"/>
      </right>
      <top style="thin">
        <color rgb="FFE0E0E0"/>
      </top>
      <bottom style="thin">
        <color rgb="FFB0B0B0"/>
      </bottom>
      <diagonal/>
    </border>
    <border>
      <left/>
      <right style="thin">
        <color rgb="FFD0D0D0"/>
      </right>
      <top/>
      <bottom style="thin">
        <color rgb="FFE0E0E0"/>
      </bottom>
      <diagonal/>
    </border>
    <border>
      <left style="thin">
        <color rgb="FFD0D0D0"/>
      </left>
      <right style="thin">
        <color rgb="FFD0D0D0"/>
      </right>
      <top/>
      <bottom style="thin">
        <color rgb="FFE0E0E0"/>
      </bottom>
      <diagonal/>
    </border>
    <border>
      <left style="thin">
        <color rgb="FFD0D0D0"/>
      </left>
      <right/>
      <top/>
      <bottom style="thin">
        <color rgb="FFE0E0E0"/>
      </bottom>
      <diagonal/>
    </border>
    <border>
      <left/>
      <right style="thin">
        <color rgb="FFD0D0D0"/>
      </right>
      <top style="thin">
        <color rgb="FFE0E0E0"/>
      </top>
      <bottom style="thin">
        <color rgb="FFE0E0E0"/>
      </bottom>
      <diagonal/>
    </border>
    <border>
      <left style="thin">
        <color rgb="FFD0D0D0"/>
      </left>
      <right/>
      <top style="thin">
        <color rgb="FFE0E0E0"/>
      </top>
      <bottom style="thin">
        <color rgb="FFE0E0E0"/>
      </bottom>
      <diagonal/>
    </border>
    <border>
      <left/>
      <right style="thin">
        <color rgb="FFD0D0D0"/>
      </right>
      <top style="thin">
        <color rgb="FFE0E0E0"/>
      </top>
      <bottom/>
      <diagonal/>
    </border>
    <border>
      <left style="thin">
        <color rgb="FFD0D0D0"/>
      </left>
      <right style="thin">
        <color rgb="FFD0D0D0"/>
      </right>
      <top style="thin">
        <color rgb="FFE0E0E0"/>
      </top>
      <bottom/>
      <diagonal/>
    </border>
    <border>
      <left style="thin">
        <color rgb="FFD0D0D0"/>
      </left>
      <right/>
      <top style="thin">
        <color rgb="FFE0E0E0"/>
      </top>
      <bottom/>
      <diagonal/>
    </border>
    <border>
      <left style="thin">
        <color rgb="FFB0B0B0"/>
      </left>
      <right style="thin">
        <color rgb="FFE0E0E0"/>
      </right>
      <top style="thin">
        <color rgb="FFB0B0B0"/>
      </top>
      <bottom style="thin">
        <color rgb="FFE0E0E0"/>
      </bottom>
      <diagonal/>
    </border>
    <border>
      <left style="thin">
        <color rgb="FFE0E0E0"/>
      </left>
      <right style="thin">
        <color rgb="FFE0E0E0"/>
      </right>
      <top style="thin">
        <color rgb="FFB0B0B0"/>
      </top>
      <bottom style="thin">
        <color rgb="FFE0E0E0"/>
      </bottom>
      <diagonal/>
    </border>
    <border>
      <left style="thin">
        <color rgb="FFE0E0E0"/>
      </left>
      <right style="thin">
        <color rgb="FFB0B0B0"/>
      </right>
      <top style="thin">
        <color rgb="FFB0B0B0"/>
      </top>
      <bottom style="thin">
        <color rgb="FFE0E0E0"/>
      </bottom>
      <diagonal/>
    </border>
    <border>
      <left style="thin">
        <color rgb="FFB0B0B0"/>
      </left>
      <right style="thin">
        <color rgb="FFE0E0E0"/>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
      <left style="thin">
        <color rgb="FFE0E0E0"/>
      </left>
      <right style="thin">
        <color rgb="FFB0B0B0"/>
      </right>
      <top style="thin">
        <color rgb="FFE0E0E0"/>
      </top>
      <bottom style="thin">
        <color rgb="FFE0E0E0"/>
      </bottom>
      <diagonal/>
    </border>
    <border>
      <left style="thin">
        <color rgb="FFB0B0B0"/>
      </left>
      <right style="thin">
        <color rgb="FFE0E0E0"/>
      </right>
      <top style="thin">
        <color rgb="FFE0E0E0"/>
      </top>
      <bottom style="thin">
        <color rgb="FFB0B0B0"/>
      </bottom>
      <diagonal/>
    </border>
    <border>
      <left style="thin">
        <color rgb="FFE0E0E0"/>
      </left>
      <right style="thin">
        <color rgb="FFE0E0E0"/>
      </right>
      <top style="thin">
        <color rgb="FFE0E0E0"/>
      </top>
      <bottom style="thin">
        <color rgb="FFB0B0B0"/>
      </bottom>
      <diagonal/>
    </border>
    <border>
      <left style="thin">
        <color rgb="FFE0E0E0"/>
      </left>
      <right style="thin">
        <color rgb="FFB0B0B0"/>
      </right>
      <top style="thin">
        <color rgb="FFE0E0E0"/>
      </top>
      <bottom style="thin">
        <color rgb="FFB0B0B0"/>
      </bottom>
      <diagonal/>
    </border>
    <border>
      <left style="thin">
        <color rgb="FFB0B0B0"/>
      </left>
      <right style="thin">
        <color rgb="FFD0D0D0"/>
      </right>
      <top style="thin">
        <color rgb="FFB0B0B0"/>
      </top>
      <bottom style="thin">
        <color rgb="FFE8E8E8"/>
      </bottom>
      <diagonal/>
    </border>
    <border>
      <left style="thin">
        <color rgb="FFD0D0D0"/>
      </left>
      <right style="thin">
        <color rgb="FFD0D0D0"/>
      </right>
      <top style="thin">
        <color rgb="FFB0B0B0"/>
      </top>
      <bottom style="thin">
        <color rgb="FFE8E8E8"/>
      </bottom>
      <diagonal/>
    </border>
    <border>
      <left style="thin">
        <color rgb="FFD0D0D0"/>
      </left>
      <right style="thin">
        <color rgb="FFB0B0B0"/>
      </right>
      <top style="thin">
        <color rgb="FFB0B0B0"/>
      </top>
      <bottom style="thin">
        <color rgb="FFE8E8E8"/>
      </bottom>
      <diagonal/>
    </border>
    <border>
      <left style="thin">
        <color rgb="FFB0B0B0"/>
      </left>
      <right style="thin">
        <color rgb="FFD0D0D0"/>
      </right>
      <top style="thin">
        <color rgb="FFE8E8E8"/>
      </top>
      <bottom style="thin">
        <color rgb="FFE8E8E8"/>
      </bottom>
      <diagonal/>
    </border>
    <border>
      <left style="thin">
        <color rgb="FFD0D0D0"/>
      </left>
      <right style="thin">
        <color rgb="FFD0D0D0"/>
      </right>
      <top style="thin">
        <color rgb="FFE8E8E8"/>
      </top>
      <bottom style="thin">
        <color rgb="FFE8E8E8"/>
      </bottom>
      <diagonal/>
    </border>
    <border>
      <left style="thin">
        <color rgb="FFD0D0D0"/>
      </left>
      <right style="thin">
        <color rgb="FFB0B0B0"/>
      </right>
      <top style="thin">
        <color rgb="FFE8E8E8"/>
      </top>
      <bottom style="thin">
        <color rgb="FFE8E8E8"/>
      </bottom>
      <diagonal/>
    </border>
    <border>
      <left style="thin">
        <color rgb="FFB0B0B0"/>
      </left>
      <right style="thin">
        <color rgb="FFD0D0D0"/>
      </right>
      <top style="thin">
        <color rgb="FFE8E8E8"/>
      </top>
      <bottom style="thin">
        <color rgb="FFB0B0B0"/>
      </bottom>
      <diagonal/>
    </border>
    <border>
      <left style="thin">
        <color rgb="FFD0D0D0"/>
      </left>
      <right style="thin">
        <color rgb="FFD0D0D0"/>
      </right>
      <top style="thin">
        <color rgb="FFE8E8E8"/>
      </top>
      <bottom style="thin">
        <color rgb="FFB0B0B0"/>
      </bottom>
      <diagonal/>
    </border>
    <border>
      <left style="thin">
        <color rgb="FFD0D0D0"/>
      </left>
      <right style="thin">
        <color rgb="FFB0B0B0"/>
      </right>
      <top style="thin">
        <color rgb="FFE8E8E8"/>
      </top>
      <bottom style="thin">
        <color rgb="FFB0B0B0"/>
      </bottom>
      <diagonal/>
    </border>
  </borders>
  <cellStyleXfs count="1">
    <xf numFmtId="0" fontId="0" fillId="0" borderId="0"/>
  </cellStyleXfs>
  <cellXfs count="83">
    <xf numFmtId="0" fontId="0" fillId="0" borderId="0" xfId="0"/>
    <xf numFmtId="0" fontId="1" fillId="0" borderId="7" xfId="0" applyFont="1" applyBorder="1" applyAlignment="1">
      <alignment wrapText="1"/>
    </xf>
    <xf numFmtId="0" fontId="1" fillId="5" borderId="7" xfId="0" applyFont="1" applyFill="1" applyBorder="1" applyAlignment="1">
      <alignment wrapText="1"/>
    </xf>
    <xf numFmtId="0" fontId="2" fillId="3" borderId="7" xfId="0" applyFont="1" applyFill="1" applyBorder="1" applyAlignment="1">
      <alignment horizontal="center" vertical="center" wrapText="1"/>
    </xf>
    <xf numFmtId="0" fontId="2" fillId="3" borderId="7" xfId="0" applyFont="1" applyFill="1" applyBorder="1" applyAlignment="1">
      <alignment vertical="center" wrapText="1"/>
    </xf>
    <xf numFmtId="0" fontId="3" fillId="11" borderId="7" xfId="0" applyFont="1" applyFill="1" applyBorder="1" applyAlignment="1">
      <alignment wrapText="1"/>
    </xf>
    <xf numFmtId="0" fontId="6" fillId="0" borderId="5" xfId="0" applyFont="1" applyBorder="1" applyAlignment="1">
      <alignment vertical="top" wrapText="1"/>
    </xf>
    <xf numFmtId="0" fontId="7" fillId="0" borderId="0" xfId="0" applyFont="1" applyAlignment="1">
      <alignment vertical="top" wrapText="1"/>
    </xf>
    <xf numFmtId="0" fontId="7" fillId="0" borderId="1" xfId="0" applyFont="1" applyBorder="1" applyAlignment="1">
      <alignment vertical="top" wrapText="1"/>
    </xf>
    <xf numFmtId="0" fontId="7" fillId="4" borderId="2" xfId="0" applyFont="1" applyFill="1" applyBorder="1" applyAlignment="1">
      <alignment vertical="top" wrapText="1"/>
    </xf>
    <xf numFmtId="0" fontId="8" fillId="5" borderId="2" xfId="0" applyFont="1" applyFill="1" applyBorder="1" applyAlignment="1">
      <alignment vertical="top" wrapText="1"/>
    </xf>
    <xf numFmtId="0" fontId="8" fillId="0" borderId="2" xfId="0" applyFont="1" applyBorder="1" applyAlignment="1">
      <alignment vertical="top" wrapText="1"/>
    </xf>
    <xf numFmtId="0" fontId="8" fillId="6" borderId="6" xfId="0" applyFont="1" applyFill="1" applyBorder="1" applyAlignment="1">
      <alignment vertical="top" wrapText="1"/>
    </xf>
    <xf numFmtId="0" fontId="8" fillId="0" borderId="0" xfId="0" applyFont="1" applyAlignment="1">
      <alignment vertical="top" wrapText="1"/>
    </xf>
    <xf numFmtId="0" fontId="10" fillId="9" borderId="0" xfId="0" applyFont="1" applyFill="1" applyAlignment="1">
      <alignment horizontal="center" vertical="top" wrapText="1"/>
    </xf>
    <xf numFmtId="0" fontId="6" fillId="4" borderId="1" xfId="0" applyFont="1" applyFill="1" applyBorder="1" applyAlignment="1">
      <alignment vertical="top" wrapText="1"/>
    </xf>
    <xf numFmtId="0" fontId="6" fillId="5" borderId="1" xfId="0" applyFont="1" applyFill="1" applyBorder="1" applyAlignment="1">
      <alignment vertical="top" wrapText="1"/>
    </xf>
    <xf numFmtId="0" fontId="6" fillId="0" borderId="1" xfId="0" applyFont="1" applyBorder="1" applyAlignment="1">
      <alignment vertical="top" wrapText="1"/>
    </xf>
    <xf numFmtId="0" fontId="10" fillId="9" borderId="20" xfId="0" applyFont="1" applyFill="1" applyBorder="1" applyAlignment="1">
      <alignment horizontal="center" vertical="center"/>
    </xf>
    <xf numFmtId="0" fontId="10" fillId="9" borderId="21" xfId="0" applyFont="1" applyFill="1" applyBorder="1" applyAlignment="1">
      <alignment horizontal="center" vertical="center"/>
    </xf>
    <xf numFmtId="0" fontId="10" fillId="9" borderId="22" xfId="0" applyFont="1" applyFill="1" applyBorder="1" applyAlignment="1">
      <alignment horizontal="center" vertical="center"/>
    </xf>
    <xf numFmtId="0" fontId="6" fillId="5" borderId="23" xfId="0" applyFont="1" applyFill="1" applyBorder="1" applyAlignment="1">
      <alignment vertical="center"/>
    </xf>
    <xf numFmtId="0" fontId="11" fillId="7" borderId="16" xfId="0" applyFont="1" applyFill="1" applyBorder="1" applyAlignment="1">
      <alignment horizontal="right" vertical="center"/>
    </xf>
    <xf numFmtId="0" fontId="4" fillId="5" borderId="24" xfId="0" applyFont="1" applyFill="1" applyBorder="1" applyAlignment="1">
      <alignment vertical="center"/>
    </xf>
    <xf numFmtId="0" fontId="6" fillId="0" borderId="23" xfId="0" applyFont="1" applyBorder="1" applyAlignment="1">
      <alignment vertical="center"/>
    </xf>
    <xf numFmtId="0" fontId="4" fillId="0" borderId="24" xfId="0" applyFont="1" applyBorder="1" applyAlignment="1">
      <alignment vertical="center"/>
    </xf>
    <xf numFmtId="0" fontId="8" fillId="0" borderId="23" xfId="0" applyFont="1" applyBorder="1" applyAlignment="1">
      <alignment vertical="center"/>
    </xf>
    <xf numFmtId="0" fontId="8" fillId="0" borderId="16" xfId="0" applyFont="1" applyBorder="1" applyAlignment="1">
      <alignment vertical="center"/>
    </xf>
    <xf numFmtId="0" fontId="10" fillId="9" borderId="23" xfId="0" applyFont="1" applyFill="1" applyBorder="1" applyAlignment="1">
      <alignment vertical="center"/>
    </xf>
    <xf numFmtId="0" fontId="7" fillId="4" borderId="16" xfId="0" applyFont="1" applyFill="1" applyBorder="1" applyAlignment="1">
      <alignment vertical="center"/>
    </xf>
    <xf numFmtId="0" fontId="13" fillId="4" borderId="24" xfId="0" applyFont="1" applyFill="1" applyBorder="1" applyAlignment="1">
      <alignment vertical="center"/>
    </xf>
    <xf numFmtId="0" fontId="11" fillId="8" borderId="16" xfId="0" applyFont="1" applyFill="1" applyBorder="1" applyAlignment="1">
      <alignment horizontal="right" vertical="center"/>
    </xf>
    <xf numFmtId="0" fontId="6" fillId="0" borderId="25" xfId="0" applyFont="1" applyBorder="1" applyAlignment="1">
      <alignment vertical="center"/>
    </xf>
    <xf numFmtId="0" fontId="11" fillId="8" borderId="26" xfId="0" applyFont="1" applyFill="1" applyBorder="1" applyAlignment="1">
      <alignment horizontal="right" vertical="center"/>
    </xf>
    <xf numFmtId="0" fontId="4" fillId="0" borderId="27" xfId="0" applyFont="1" applyBorder="1" applyAlignment="1">
      <alignment vertical="center"/>
    </xf>
    <xf numFmtId="0" fontId="8" fillId="0" borderId="0" xfId="0" applyFont="1" applyAlignment="1">
      <alignment vertical="center"/>
    </xf>
    <xf numFmtId="0" fontId="6" fillId="8" borderId="0" xfId="0" applyFont="1" applyFill="1" applyAlignment="1">
      <alignment vertical="center"/>
    </xf>
    <xf numFmtId="0" fontId="4" fillId="0" borderId="0" xfId="0" applyFont="1" applyAlignment="1">
      <alignment vertical="center"/>
    </xf>
    <xf numFmtId="0" fontId="12" fillId="0" borderId="0" xfId="0" applyFont="1" applyAlignment="1">
      <alignment vertical="center"/>
    </xf>
    <xf numFmtId="0" fontId="6" fillId="4" borderId="15" xfId="0" applyFont="1" applyFill="1" applyBorder="1" applyAlignment="1">
      <alignment horizontal="center" vertical="center"/>
    </xf>
    <xf numFmtId="0" fontId="11" fillId="10" borderId="17" xfId="0" applyFont="1" applyFill="1" applyBorder="1" applyAlignment="1">
      <alignment horizontal="right" vertical="center"/>
    </xf>
    <xf numFmtId="0" fontId="6" fillId="4" borderId="18" xfId="0" applyFont="1" applyFill="1" applyBorder="1" applyAlignment="1">
      <alignment horizontal="center" vertical="center"/>
    </xf>
    <xf numFmtId="0" fontId="11" fillId="10" borderId="19" xfId="0" applyFont="1" applyFill="1" applyBorder="1" applyAlignment="1">
      <alignment horizontal="right" vertical="center"/>
    </xf>
    <xf numFmtId="0" fontId="6" fillId="9" borderId="28" xfId="0" applyFont="1" applyFill="1" applyBorder="1" applyAlignment="1">
      <alignment horizontal="center" vertical="center" wrapText="1"/>
    </xf>
    <xf numFmtId="0" fontId="6" fillId="9" borderId="29" xfId="0" applyFont="1" applyFill="1" applyBorder="1" applyAlignment="1">
      <alignment horizontal="center" vertical="center" wrapText="1"/>
    </xf>
    <xf numFmtId="0" fontId="6" fillId="9" borderId="30" xfId="0" applyFont="1" applyFill="1" applyBorder="1" applyAlignment="1">
      <alignment horizontal="center" vertical="center" wrapText="1"/>
    </xf>
    <xf numFmtId="0" fontId="6" fillId="4" borderId="31" xfId="0" applyFont="1" applyFill="1" applyBorder="1" applyAlignment="1">
      <alignment horizontal="center" vertical="center"/>
    </xf>
    <xf numFmtId="0" fontId="11" fillId="7" borderId="32" xfId="0" applyFont="1" applyFill="1" applyBorder="1" applyAlignment="1">
      <alignment horizontal="right" vertical="center"/>
    </xf>
    <xf numFmtId="0" fontId="11" fillId="10" borderId="32" xfId="0" applyFont="1" applyFill="1" applyBorder="1" applyAlignment="1">
      <alignment horizontal="right" vertical="center"/>
    </xf>
    <xf numFmtId="0" fontId="11" fillId="10" borderId="33" xfId="0" applyFont="1" applyFill="1" applyBorder="1" applyAlignment="1">
      <alignment horizontal="right" vertical="center"/>
    </xf>
    <xf numFmtId="0" fontId="6" fillId="4" borderId="34" xfId="0" applyFont="1" applyFill="1" applyBorder="1" applyAlignment="1">
      <alignment horizontal="center" vertical="center"/>
    </xf>
    <xf numFmtId="0" fontId="11" fillId="7" borderId="35" xfId="0" applyFont="1" applyFill="1" applyBorder="1" applyAlignment="1">
      <alignment horizontal="right" vertical="center"/>
    </xf>
    <xf numFmtId="0" fontId="11" fillId="10" borderId="35" xfId="0" applyFont="1" applyFill="1" applyBorder="1" applyAlignment="1">
      <alignment horizontal="right" vertical="center"/>
    </xf>
    <xf numFmtId="0" fontId="11" fillId="10" borderId="36" xfId="0" applyFont="1" applyFill="1" applyBorder="1" applyAlignment="1">
      <alignment horizontal="right" vertical="center"/>
    </xf>
    <xf numFmtId="0" fontId="6" fillId="7" borderId="9" xfId="0" applyFont="1" applyFill="1" applyBorder="1" applyAlignment="1">
      <alignment horizontal="center" vertical="center"/>
    </xf>
    <xf numFmtId="0" fontId="7" fillId="2" borderId="0" xfId="0" applyFont="1" applyFill="1" applyAlignment="1">
      <alignment horizontal="center" vertical="center"/>
    </xf>
    <xf numFmtId="0" fontId="6" fillId="7" borderId="7" xfId="0" applyFont="1" applyFill="1" applyBorder="1" applyAlignment="1">
      <alignment vertical="center"/>
    </xf>
    <xf numFmtId="0" fontId="6" fillId="7" borderId="11" xfId="0" applyFont="1" applyFill="1" applyBorder="1" applyAlignment="1">
      <alignment vertical="center"/>
    </xf>
    <xf numFmtId="0" fontId="14" fillId="7" borderId="10" xfId="0" applyFont="1" applyFill="1" applyBorder="1" applyAlignment="1">
      <alignment horizontal="right" vertical="center"/>
    </xf>
    <xf numFmtId="0" fontId="14" fillId="7" borderId="8" xfId="0" applyFont="1" applyFill="1" applyBorder="1" applyAlignment="1">
      <alignment horizontal="right" vertical="center"/>
    </xf>
    <xf numFmtId="0" fontId="14" fillId="7" borderId="12" xfId="0" applyFont="1" applyFill="1" applyBorder="1" applyAlignment="1">
      <alignment horizontal="right" vertical="center"/>
    </xf>
    <xf numFmtId="0" fontId="6" fillId="9" borderId="37" xfId="0" applyFont="1" applyFill="1" applyBorder="1" applyAlignment="1">
      <alignment horizontal="center" vertical="center" wrapText="1"/>
    </xf>
    <xf numFmtId="0" fontId="6" fillId="9" borderId="38" xfId="0" applyFont="1" applyFill="1" applyBorder="1" applyAlignment="1">
      <alignment horizontal="center" vertical="center" wrapText="1"/>
    </xf>
    <xf numFmtId="0" fontId="6" fillId="9" borderId="39" xfId="0" applyFont="1" applyFill="1" applyBorder="1" applyAlignment="1">
      <alignment horizontal="center" vertical="center" wrapText="1"/>
    </xf>
    <xf numFmtId="0" fontId="16" fillId="4" borderId="40" xfId="0" applyFont="1" applyFill="1" applyBorder="1" applyAlignment="1">
      <alignment horizontal="center" vertical="center"/>
    </xf>
    <xf numFmtId="0" fontId="15" fillId="0" borderId="41" xfId="0" applyFont="1" applyBorder="1" applyAlignment="1">
      <alignment horizontal="right" vertical="center"/>
    </xf>
    <xf numFmtId="0" fontId="15" fillId="12" borderId="41" xfId="0" applyFont="1" applyFill="1" applyBorder="1" applyAlignment="1">
      <alignment horizontal="right" vertical="center"/>
    </xf>
    <xf numFmtId="0" fontId="15" fillId="8" borderId="42" xfId="0" applyFont="1" applyFill="1" applyBorder="1" applyAlignment="1">
      <alignment horizontal="right" vertical="center"/>
    </xf>
    <xf numFmtId="0" fontId="15" fillId="5" borderId="41" xfId="0" applyFont="1" applyFill="1" applyBorder="1" applyAlignment="1">
      <alignment horizontal="right" vertical="center"/>
    </xf>
    <xf numFmtId="0" fontId="16" fillId="4" borderId="43" xfId="0" applyFont="1" applyFill="1" applyBorder="1" applyAlignment="1">
      <alignment horizontal="center" vertical="center"/>
    </xf>
    <xf numFmtId="0" fontId="15" fillId="5" borderId="44" xfId="0" applyFont="1" applyFill="1" applyBorder="1" applyAlignment="1">
      <alignment horizontal="right" vertical="center"/>
    </xf>
    <xf numFmtId="0" fontId="15" fillId="12" borderId="44" xfId="0" applyFont="1" applyFill="1" applyBorder="1" applyAlignment="1">
      <alignment horizontal="right" vertical="center"/>
    </xf>
    <xf numFmtId="0" fontId="15" fillId="8" borderId="45" xfId="0" applyFont="1" applyFill="1" applyBorder="1" applyAlignment="1">
      <alignment horizontal="right" vertical="center"/>
    </xf>
    <xf numFmtId="0" fontId="6" fillId="9" borderId="13" xfId="0" applyFont="1" applyFill="1" applyBorder="1" applyAlignment="1">
      <alignment horizontal="center" vertical="center"/>
    </xf>
    <xf numFmtId="0" fontId="6" fillId="9" borderId="14" xfId="0" applyFont="1" applyFill="1" applyBorder="1" applyAlignment="1">
      <alignment horizontal="center" vertical="center"/>
    </xf>
    <xf numFmtId="0" fontId="6" fillId="9" borderId="0" xfId="0" applyFont="1" applyFill="1" applyAlignment="1">
      <alignment horizontal="center" vertical="center"/>
    </xf>
    <xf numFmtId="0" fontId="11" fillId="8" borderId="17" xfId="0" applyFont="1" applyFill="1" applyBorder="1" applyAlignment="1">
      <alignment horizontal="right" vertical="center"/>
    </xf>
    <xf numFmtId="0" fontId="11" fillId="8" borderId="19" xfId="0" applyFont="1" applyFill="1" applyBorder="1" applyAlignment="1">
      <alignment horizontal="right" vertical="center"/>
    </xf>
    <xf numFmtId="0" fontId="12" fillId="5" borderId="15" xfId="0" applyFont="1" applyFill="1" applyBorder="1" applyAlignment="1">
      <alignment horizontal="center" vertical="center"/>
    </xf>
    <xf numFmtId="0" fontId="12" fillId="0" borderId="15" xfId="0" applyFont="1" applyBorder="1" applyAlignment="1">
      <alignment horizontal="center" vertical="center"/>
    </xf>
    <xf numFmtId="0" fontId="12" fillId="0" borderId="18" xfId="0" applyFont="1" applyBorder="1" applyAlignment="1">
      <alignment horizontal="center" vertical="center"/>
    </xf>
    <xf numFmtId="0" fontId="10" fillId="0" borderId="3" xfId="0" applyFont="1" applyBorder="1" applyAlignment="1">
      <alignment vertical="top" wrapText="1"/>
    </xf>
    <xf numFmtId="0" fontId="9" fillId="0" borderId="4" xfId="0" applyFont="1" applyBorder="1" applyAlignment="1">
      <alignment vertical="top" wrapText="1"/>
    </xf>
  </cellXfs>
  <cellStyles count="1">
    <cellStyle name="Normal" xfId="0" builtinId="0"/>
  </cellStyles>
  <dxfs count="8">
    <dxf>
      <font>
        <sz val="12"/>
        <color rgb="FF333333"/>
        <name val="Segoe UI"/>
      </font>
      <alignment vertical="center"/>
      <border diagonalUp="0" diagonalDown="0">
        <left style="thin">
          <color rgb="FFD0D0D0"/>
        </left>
        <right style="thin">
          <color rgb="FFD0D0D0"/>
        </right>
        <top/>
        <bottom/>
        <vertical style="thin">
          <color rgb="FFD0D0D0"/>
        </vertical>
        <horizontal style="thin">
          <color rgb="FFE0E0E0"/>
        </horizontal>
      </border>
    </dxf>
    <dxf>
      <font>
        <b/>
        <sz val="14"/>
        <color rgb="FF1A2B4A"/>
        <name val="Segoe UI"/>
      </font>
      <fill>
        <patternFill patternType="solid">
          <fgColor indexed="64"/>
          <bgColor rgb="FFF0F4F8"/>
        </patternFill>
      </fill>
      <alignment horizontal="center" vertical="center"/>
      <border diagonalUp="0" diagonalDown="0">
        <left style="thin">
          <color rgb="FFD0D0D0"/>
        </left>
        <right style="thin">
          <color rgb="FFD0D0D0"/>
        </right>
        <top/>
        <bottom/>
        <vertical style="thin">
          <color rgb="FFD0D0D0"/>
        </vertical>
        <horizontal style="thin">
          <color rgb="FFE0E0E0"/>
        </horizontal>
      </border>
    </dxf>
    <dxf>
      <font>
        <i/>
        <sz val="12"/>
        <color rgb="FF666666"/>
        <name val="Segoe UI"/>
      </font>
      <alignment vertical="center"/>
      <border diagonalUp="0" diagonalDown="0">
        <left style="thin">
          <color rgb="FFD0D0D0"/>
        </left>
        <right/>
        <top style="thin">
          <color rgb="FFE0E0E0"/>
        </top>
        <bottom style="thin">
          <color rgb="FFE0E0E0"/>
        </bottom>
        <vertical style="thin">
          <color rgb="FFD0D0D0"/>
        </vertical>
        <horizontal style="thin">
          <color rgb="FFE0E0E0"/>
        </horizontal>
      </border>
    </dxf>
    <dxf>
      <font>
        <sz val="12"/>
        <color rgb="FF333333"/>
        <name val="Segoe UI"/>
      </font>
      <alignment vertical="center"/>
      <border diagonalUp="0" diagonalDown="0">
        <left style="thin">
          <color rgb="FFD0D0D0"/>
        </left>
        <right style="thin">
          <color rgb="FFD0D0D0"/>
        </right>
        <top style="thin">
          <color rgb="FFE0E0E0"/>
        </top>
        <bottom style="thin">
          <color rgb="FFE0E0E0"/>
        </bottom>
        <vertical style="thin">
          <color rgb="FFD0D0D0"/>
        </vertical>
        <horizontal style="thin">
          <color rgb="FFE0E0E0"/>
        </horizontal>
      </border>
    </dxf>
    <dxf>
      <font>
        <sz val="12"/>
        <color rgb="FF333333"/>
        <name val="Segoe UI"/>
      </font>
      <alignment vertical="center"/>
      <border diagonalUp="0" diagonalDown="0">
        <left/>
        <right style="thin">
          <color rgb="FFD0D0D0"/>
        </right>
        <top style="thin">
          <color rgb="FFE0E0E0"/>
        </top>
        <bottom style="thin">
          <color rgb="FFE0E0E0"/>
        </bottom>
        <vertical style="thin">
          <color rgb="FFD0D0D0"/>
        </vertical>
        <horizontal style="thin">
          <color rgb="FFE0E0E0"/>
        </horizontal>
      </border>
    </dxf>
    <dxf>
      <border>
        <bottom style="thin">
          <color rgb="FFE0E0E0"/>
        </bottom>
      </border>
    </dxf>
    <dxf>
      <border diagonalUp="0" diagonalDown="0">
        <left style="thin">
          <color rgb="FFB0B0B0"/>
        </left>
        <right style="thin">
          <color rgb="FFB0B0B0"/>
        </right>
        <top style="thin">
          <color rgb="FFB0B0B0"/>
        </top>
        <bottom style="thin">
          <color rgb="FFB0B0B0"/>
        </bottom>
      </border>
    </dxf>
    <dxf>
      <font>
        <sz val="12"/>
        <color rgb="FF333333"/>
        <name val="Segoe UI"/>
      </font>
      <alignment vertic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17" headerRowDxfId="1" dataDxfId="7" totalsRowDxfId="0" headerRowBorderDxfId="5" tableBorderDxfId="6">
  <autoFilter ref="A1:C17" xr:uid="{00000000-0009-0000-0100-000001000000}"/>
  <tableColumns count="3">
    <tableColumn id="1" xr3:uid="{00000000-0010-0000-0000-000001000000}" name="Parameter" dataDxfId="4"/>
    <tableColumn id="2" xr3:uid="{00000000-0010-0000-0000-000002000000}" name="Value" dataDxfId="3"/>
    <tableColumn id="3" xr3:uid="{00000000-0010-0000-0000-000003000000}" name="Unit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opLeftCell="A3" workbookViewId="0">
      <selection activeCell="B24" sqref="B24"/>
    </sheetView>
  </sheetViews>
  <sheetFormatPr defaultRowHeight="15" x14ac:dyDescent="0.25"/>
  <cols>
    <col min="1" max="1" width="53.28515625" customWidth="1"/>
    <col min="2" max="2" width="95.28515625" customWidth="1"/>
  </cols>
  <sheetData>
    <row r="1" spans="1:2" ht="30" customHeight="1" x14ac:dyDescent="0.25">
      <c r="A1" s="14" t="s">
        <v>97</v>
      </c>
      <c r="B1" s="14"/>
    </row>
    <row r="2" spans="1:2" ht="21.95" customHeight="1" x14ac:dyDescent="0.25">
      <c r="A2" s="7"/>
      <c r="B2" s="13"/>
    </row>
    <row r="3" spans="1:2" ht="21.95" customHeight="1" x14ac:dyDescent="0.25">
      <c r="A3" s="81" t="s">
        <v>0</v>
      </c>
      <c r="B3" s="82" t="s">
        <v>1</v>
      </c>
    </row>
    <row r="4" spans="1:2" ht="21.95" customHeight="1" x14ac:dyDescent="0.25">
      <c r="A4" s="8"/>
      <c r="B4" s="11"/>
    </row>
    <row r="5" spans="1:2" ht="21.95" customHeight="1" x14ac:dyDescent="0.25">
      <c r="A5" s="15" t="s">
        <v>2</v>
      </c>
      <c r="B5" s="9"/>
    </row>
    <row r="6" spans="1:2" ht="21.95" customHeight="1" x14ac:dyDescent="0.25">
      <c r="A6" s="16" t="s">
        <v>3</v>
      </c>
      <c r="B6" s="10" t="s">
        <v>4</v>
      </c>
    </row>
    <row r="7" spans="1:2" ht="21.95" customHeight="1" x14ac:dyDescent="0.25">
      <c r="A7" s="17" t="s">
        <v>5</v>
      </c>
      <c r="B7" s="11" t="s">
        <v>6</v>
      </c>
    </row>
    <row r="8" spans="1:2" ht="21.95" customHeight="1" x14ac:dyDescent="0.25">
      <c r="A8" s="16" t="s">
        <v>7</v>
      </c>
      <c r="B8" s="10" t="s">
        <v>8</v>
      </c>
    </row>
    <row r="9" spans="1:2" ht="21.95" customHeight="1" x14ac:dyDescent="0.25">
      <c r="A9" s="17" t="s">
        <v>9</v>
      </c>
      <c r="B9" s="11" t="s">
        <v>10</v>
      </c>
    </row>
    <row r="10" spans="1:2" ht="21.95" customHeight="1" x14ac:dyDescent="0.25">
      <c r="A10" s="16" t="s">
        <v>11</v>
      </c>
      <c r="B10" s="10" t="s">
        <v>12</v>
      </c>
    </row>
    <row r="11" spans="1:2" ht="21.95" customHeight="1" x14ac:dyDescent="0.25">
      <c r="A11" s="8"/>
      <c r="B11" s="11"/>
    </row>
    <row r="12" spans="1:2" ht="21.95" customHeight="1" x14ac:dyDescent="0.25">
      <c r="A12" s="6" t="s">
        <v>13</v>
      </c>
      <c r="B12" s="12" t="s">
        <v>14</v>
      </c>
    </row>
  </sheetData>
  <mergeCells count="2">
    <mergeCell ref="A1:B1"/>
    <mergeCell ref="A5:B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election activeCell="H17" sqref="H17"/>
    </sheetView>
  </sheetViews>
  <sheetFormatPr defaultRowHeight="15" x14ac:dyDescent="0.25"/>
  <cols>
    <col min="1" max="1" width="34.28515625" customWidth="1"/>
    <col min="2" max="2" width="28.5703125" customWidth="1"/>
    <col min="3" max="3" width="22.85546875" customWidth="1"/>
  </cols>
  <sheetData>
    <row r="1" spans="1:3" ht="27.95" customHeight="1" x14ac:dyDescent="0.25">
      <c r="A1" s="18" t="s">
        <v>15</v>
      </c>
      <c r="B1" s="19" t="s">
        <v>16</v>
      </c>
      <c r="C1" s="20" t="s">
        <v>17</v>
      </c>
    </row>
    <row r="2" spans="1:3" ht="21.95" customHeight="1" x14ac:dyDescent="0.25">
      <c r="A2" s="21" t="s">
        <v>18</v>
      </c>
      <c r="B2" s="22">
        <v>1000</v>
      </c>
      <c r="C2" s="23" t="s">
        <v>19</v>
      </c>
    </row>
    <row r="3" spans="1:3" ht="21.95" customHeight="1" x14ac:dyDescent="0.25">
      <c r="A3" s="24" t="s">
        <v>20</v>
      </c>
      <c r="B3" s="22">
        <v>8000</v>
      </c>
      <c r="C3" s="25" t="s">
        <v>21</v>
      </c>
    </row>
    <row r="4" spans="1:3" ht="21.95" customHeight="1" x14ac:dyDescent="0.25">
      <c r="A4" s="21" t="s">
        <v>22</v>
      </c>
      <c r="B4" s="22">
        <v>2000000000</v>
      </c>
      <c r="C4" s="23" t="s">
        <v>23</v>
      </c>
    </row>
    <row r="5" spans="1:3" ht="21.95" customHeight="1" x14ac:dyDescent="0.25">
      <c r="A5" s="24" t="s">
        <v>24</v>
      </c>
      <c r="B5" s="22">
        <v>1000000</v>
      </c>
      <c r="C5" s="25" t="s">
        <v>25</v>
      </c>
    </row>
    <row r="6" spans="1:3" ht="21.95" customHeight="1" x14ac:dyDescent="0.25">
      <c r="A6" s="21" t="s">
        <v>26</v>
      </c>
      <c r="B6" s="22">
        <v>500000</v>
      </c>
      <c r="C6" s="23" t="s">
        <v>25</v>
      </c>
    </row>
    <row r="7" spans="1:3" ht="21.95" customHeight="1" x14ac:dyDescent="0.25">
      <c r="A7" s="24" t="s">
        <v>27</v>
      </c>
      <c r="B7" s="22">
        <v>1000</v>
      </c>
      <c r="C7" s="25" t="s">
        <v>21</v>
      </c>
    </row>
    <row r="8" spans="1:3" ht="21.95" customHeight="1" x14ac:dyDescent="0.25">
      <c r="A8" s="21" t="s">
        <v>28</v>
      </c>
      <c r="B8" s="22">
        <v>1000000</v>
      </c>
      <c r="C8" s="23" t="s">
        <v>29</v>
      </c>
    </row>
    <row r="9" spans="1:3" ht="21.95" customHeight="1" x14ac:dyDescent="0.25">
      <c r="A9" s="24" t="s">
        <v>30</v>
      </c>
      <c r="B9" s="22">
        <v>1000</v>
      </c>
      <c r="C9" s="25" t="s">
        <v>31</v>
      </c>
    </row>
    <row r="10" spans="1:3" ht="21.95" customHeight="1" x14ac:dyDescent="0.25">
      <c r="A10" s="21" t="s">
        <v>32</v>
      </c>
      <c r="B10" s="22">
        <v>300000000</v>
      </c>
      <c r="C10" s="23" t="s">
        <v>33</v>
      </c>
    </row>
    <row r="11" spans="1:3" ht="21.95" customHeight="1" x14ac:dyDescent="0.25">
      <c r="A11" s="26"/>
      <c r="B11" s="27"/>
      <c r="C11" s="25"/>
    </row>
    <row r="12" spans="1:3" ht="27.95" customHeight="1" x14ac:dyDescent="0.25">
      <c r="A12" s="28" t="s">
        <v>34</v>
      </c>
      <c r="B12" s="29"/>
      <c r="C12" s="30"/>
    </row>
    <row r="13" spans="1:3" ht="21.95" customHeight="1" x14ac:dyDescent="0.25">
      <c r="A13" s="24" t="s">
        <v>35</v>
      </c>
      <c r="B13" s="31" t="e">
        <f>(B1*B2)/B3</f>
        <v>#VALUE!</v>
      </c>
      <c r="C13" s="25" t="s">
        <v>36</v>
      </c>
    </row>
    <row r="14" spans="1:3" ht="21.95" customHeight="1" x14ac:dyDescent="0.25">
      <c r="A14" s="24" t="s">
        <v>37</v>
      </c>
      <c r="B14" s="31">
        <f>1/(B4-B5)</f>
        <v>5.0025012506253128E-10</v>
      </c>
      <c r="C14" s="25" t="s">
        <v>36</v>
      </c>
    </row>
    <row r="15" spans="1:3" ht="21.95" customHeight="1" x14ac:dyDescent="0.25">
      <c r="A15" s="24" t="s">
        <v>38</v>
      </c>
      <c r="B15" s="31">
        <f>B6/B7</f>
        <v>500</v>
      </c>
      <c r="C15" s="25" t="s">
        <v>36</v>
      </c>
    </row>
    <row r="16" spans="1:3" ht="21.95" customHeight="1" x14ac:dyDescent="0.25">
      <c r="A16" s="24" t="s">
        <v>39</v>
      </c>
      <c r="B16" s="31">
        <f>B8/B9</f>
        <v>1000</v>
      </c>
      <c r="C16" s="25" t="s">
        <v>36</v>
      </c>
    </row>
    <row r="17" spans="1:3" ht="21.95" customHeight="1" x14ac:dyDescent="0.25">
      <c r="A17" s="32" t="s">
        <v>40</v>
      </c>
      <c r="B17" s="33" t="e">
        <f>B10+B11+B12+B13</f>
        <v>#VALUE!</v>
      </c>
      <c r="C17" s="34" t="s">
        <v>36</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topLeftCell="A8" workbookViewId="0">
      <selection activeCell="O22" sqref="O22"/>
    </sheetView>
  </sheetViews>
  <sheetFormatPr defaultRowHeight="15" x14ac:dyDescent="0.25"/>
  <cols>
    <col min="1" max="1" width="133.28515625" customWidth="1"/>
  </cols>
  <sheetData>
    <row r="1" spans="1:1" ht="21.95" customHeight="1" x14ac:dyDescent="0.25">
      <c r="A1" s="3" t="s">
        <v>41</v>
      </c>
    </row>
    <row r="2" spans="1:1" ht="21.95" customHeight="1" x14ac:dyDescent="0.3">
      <c r="A2" s="1" t="s">
        <v>42</v>
      </c>
    </row>
    <row r="3" spans="1:1" ht="21.95" customHeight="1" x14ac:dyDescent="0.3">
      <c r="A3" s="2" t="s">
        <v>43</v>
      </c>
    </row>
    <row r="4" spans="1:1" ht="21.95" customHeight="1" x14ac:dyDescent="0.3">
      <c r="A4" s="2" t="s">
        <v>44</v>
      </c>
    </row>
    <row r="5" spans="1:1" ht="21.95" customHeight="1" x14ac:dyDescent="0.3">
      <c r="A5" s="2" t="s">
        <v>45</v>
      </c>
    </row>
    <row r="6" spans="1:1" ht="21.95" customHeight="1" x14ac:dyDescent="0.3">
      <c r="A6" s="2" t="s">
        <v>46</v>
      </c>
    </row>
    <row r="7" spans="1:1" ht="21.95" customHeight="1" x14ac:dyDescent="0.3">
      <c r="A7" s="1" t="s">
        <v>47</v>
      </c>
    </row>
    <row r="8" spans="1:1" ht="21.95" customHeight="1" x14ac:dyDescent="0.3">
      <c r="A8" s="1"/>
    </row>
    <row r="9" spans="1:1" ht="21.95" customHeight="1" x14ac:dyDescent="0.25">
      <c r="A9" s="4" t="s">
        <v>48</v>
      </c>
    </row>
    <row r="10" spans="1:1" ht="21.95" customHeight="1" x14ac:dyDescent="0.3">
      <c r="A10" s="1" t="s">
        <v>49</v>
      </c>
    </row>
    <row r="11" spans="1:1" ht="21.95" customHeight="1" x14ac:dyDescent="0.25">
      <c r="A11" s="5" t="s">
        <v>50</v>
      </c>
    </row>
    <row r="12" spans="1:1" ht="21.95" customHeight="1" x14ac:dyDescent="0.3">
      <c r="A12" s="1" t="s">
        <v>51</v>
      </c>
    </row>
    <row r="13" spans="1:1" ht="21.95" customHeight="1" x14ac:dyDescent="0.3">
      <c r="A13" s="1"/>
    </row>
    <row r="14" spans="1:1" ht="21.95" customHeight="1" x14ac:dyDescent="0.25">
      <c r="A14" s="4" t="s">
        <v>52</v>
      </c>
    </row>
    <row r="15" spans="1:1" ht="21.95" customHeight="1" x14ac:dyDescent="0.3">
      <c r="A15" s="1" t="s">
        <v>53</v>
      </c>
    </row>
    <row r="16" spans="1:1" ht="21.95" customHeight="1" x14ac:dyDescent="0.25">
      <c r="A16" s="5" t="s">
        <v>54</v>
      </c>
    </row>
    <row r="17" spans="1:1" ht="21.95" customHeight="1" x14ac:dyDescent="0.3">
      <c r="A17" s="1" t="s">
        <v>55</v>
      </c>
    </row>
    <row r="18" spans="1:1" ht="21.95" customHeight="1" x14ac:dyDescent="0.3">
      <c r="A18" s="1"/>
    </row>
    <row r="19" spans="1:1" ht="21.95" customHeight="1" x14ac:dyDescent="0.25">
      <c r="A19" s="4" t="s">
        <v>56</v>
      </c>
    </row>
    <row r="20" spans="1:1" ht="21.95" customHeight="1" x14ac:dyDescent="0.3">
      <c r="A20" s="1" t="s">
        <v>57</v>
      </c>
    </row>
    <row r="21" spans="1:1" ht="21.95" customHeight="1" x14ac:dyDescent="0.3">
      <c r="A21" s="2" t="s">
        <v>58</v>
      </c>
    </row>
    <row r="22" spans="1:1" ht="21.95" customHeight="1" x14ac:dyDescent="0.3">
      <c r="A22" s="2" t="s">
        <v>59</v>
      </c>
    </row>
    <row r="23" spans="1:1" ht="21.95" customHeight="1" x14ac:dyDescent="0.3">
      <c r="A23" s="2" t="s">
        <v>60</v>
      </c>
    </row>
    <row r="24" spans="1:1" ht="21.95" customHeight="1" x14ac:dyDescent="0.3">
      <c r="A24" s="2" t="s">
        <v>61</v>
      </c>
    </row>
    <row r="25" spans="1:1" ht="21.95" customHeight="1" x14ac:dyDescent="0.3">
      <c r="A25" s="1"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4"/>
  <sheetViews>
    <sheetView workbookViewId="0">
      <pane ySplit="1" topLeftCell="A3" activePane="bottomLeft" state="frozen"/>
      <selection pane="bottomLeft" activeCell="G28" sqref="G28"/>
    </sheetView>
  </sheetViews>
  <sheetFormatPr defaultRowHeight="15" x14ac:dyDescent="0.25"/>
  <cols>
    <col min="1" max="1" width="13.28515625" customWidth="1"/>
    <col min="2" max="12" width="16.140625" customWidth="1"/>
    <col min="13" max="13" width="21.7109375" customWidth="1"/>
  </cols>
  <sheetData>
    <row r="1" spans="1:13" ht="35.1" customHeight="1" x14ac:dyDescent="0.25">
      <c r="A1" s="43" t="s">
        <v>63</v>
      </c>
      <c r="B1" s="44" t="s">
        <v>18</v>
      </c>
      <c r="C1" s="44" t="s">
        <v>20</v>
      </c>
      <c r="D1" s="44" t="s">
        <v>22</v>
      </c>
      <c r="E1" s="44" t="s">
        <v>35</v>
      </c>
      <c r="F1" s="44" t="s">
        <v>37</v>
      </c>
      <c r="G1" s="44" t="s">
        <v>27</v>
      </c>
      <c r="H1" s="44" t="s">
        <v>28</v>
      </c>
      <c r="I1" s="44" t="s">
        <v>38</v>
      </c>
      <c r="J1" s="44" t="s">
        <v>30</v>
      </c>
      <c r="K1" s="44" t="s">
        <v>32</v>
      </c>
      <c r="L1" s="44" t="s">
        <v>39</v>
      </c>
      <c r="M1" s="45" t="s">
        <v>64</v>
      </c>
    </row>
    <row r="2" spans="1:13" ht="20.100000000000001" customHeight="1" x14ac:dyDescent="0.25">
      <c r="A2" s="46" t="s">
        <v>65</v>
      </c>
      <c r="B2" s="47"/>
      <c r="C2" s="47"/>
      <c r="D2" s="47"/>
      <c r="E2" s="48" t="e">
        <f t="shared" ref="E2:E21" si="0">B2*C2/D2</f>
        <v>#DIV/0!</v>
      </c>
      <c r="F2" s="47"/>
      <c r="G2" s="47"/>
      <c r="H2" s="47"/>
      <c r="I2" s="48" t="e">
        <f t="shared" ref="I2:I21" si="1">G2/H2</f>
        <v>#DIV/0!</v>
      </c>
      <c r="J2" s="47"/>
      <c r="K2" s="47"/>
      <c r="L2" s="48" t="e">
        <f t="shared" ref="L2:L21" si="2">J2/K2</f>
        <v>#DIV/0!</v>
      </c>
      <c r="M2" s="49" t="e">
        <f t="shared" ref="M2:M21" si="3">E2+F2+I2+L2</f>
        <v>#DIV/0!</v>
      </c>
    </row>
    <row r="3" spans="1:13" ht="20.100000000000001" customHeight="1" x14ac:dyDescent="0.25">
      <c r="A3" s="46" t="s">
        <v>66</v>
      </c>
      <c r="B3" s="47"/>
      <c r="C3" s="47"/>
      <c r="D3" s="47"/>
      <c r="E3" s="48" t="e">
        <f t="shared" si="0"/>
        <v>#DIV/0!</v>
      </c>
      <c r="F3" s="47"/>
      <c r="G3" s="47"/>
      <c r="H3" s="47"/>
      <c r="I3" s="48" t="e">
        <f t="shared" si="1"/>
        <v>#DIV/0!</v>
      </c>
      <c r="J3" s="47"/>
      <c r="K3" s="47"/>
      <c r="L3" s="48" t="e">
        <f t="shared" si="2"/>
        <v>#DIV/0!</v>
      </c>
      <c r="M3" s="49" t="e">
        <f t="shared" si="3"/>
        <v>#DIV/0!</v>
      </c>
    </row>
    <row r="4" spans="1:13" ht="20.100000000000001" customHeight="1" x14ac:dyDescent="0.25">
      <c r="A4" s="46" t="s">
        <v>67</v>
      </c>
      <c r="B4" s="47"/>
      <c r="C4" s="47"/>
      <c r="D4" s="47"/>
      <c r="E4" s="48" t="e">
        <f t="shared" si="0"/>
        <v>#DIV/0!</v>
      </c>
      <c r="F4" s="47"/>
      <c r="G4" s="47"/>
      <c r="H4" s="47"/>
      <c r="I4" s="48" t="e">
        <f t="shared" si="1"/>
        <v>#DIV/0!</v>
      </c>
      <c r="J4" s="47"/>
      <c r="K4" s="47"/>
      <c r="L4" s="48" t="e">
        <f t="shared" si="2"/>
        <v>#DIV/0!</v>
      </c>
      <c r="M4" s="49" t="e">
        <f t="shared" si="3"/>
        <v>#DIV/0!</v>
      </c>
    </row>
    <row r="5" spans="1:13" ht="20.100000000000001" customHeight="1" x14ac:dyDescent="0.25">
      <c r="A5" s="46" t="s">
        <v>68</v>
      </c>
      <c r="B5" s="47"/>
      <c r="C5" s="47"/>
      <c r="D5" s="47"/>
      <c r="E5" s="48" t="e">
        <f t="shared" si="0"/>
        <v>#DIV/0!</v>
      </c>
      <c r="F5" s="47"/>
      <c r="G5" s="47"/>
      <c r="H5" s="47"/>
      <c r="I5" s="48" t="e">
        <f t="shared" si="1"/>
        <v>#DIV/0!</v>
      </c>
      <c r="J5" s="47"/>
      <c r="K5" s="47"/>
      <c r="L5" s="48" t="e">
        <f t="shared" si="2"/>
        <v>#DIV/0!</v>
      </c>
      <c r="M5" s="49" t="e">
        <f t="shared" si="3"/>
        <v>#DIV/0!</v>
      </c>
    </row>
    <row r="6" spans="1:13" ht="20.100000000000001" customHeight="1" x14ac:dyDescent="0.25">
      <c r="A6" s="46" t="s">
        <v>69</v>
      </c>
      <c r="B6" s="47"/>
      <c r="C6" s="47"/>
      <c r="D6" s="47"/>
      <c r="E6" s="48" t="e">
        <f t="shared" si="0"/>
        <v>#DIV/0!</v>
      </c>
      <c r="F6" s="47"/>
      <c r="G6" s="47"/>
      <c r="H6" s="47"/>
      <c r="I6" s="48" t="e">
        <f t="shared" si="1"/>
        <v>#DIV/0!</v>
      </c>
      <c r="J6" s="47"/>
      <c r="K6" s="47"/>
      <c r="L6" s="48" t="e">
        <f t="shared" si="2"/>
        <v>#DIV/0!</v>
      </c>
      <c r="M6" s="49" t="e">
        <f t="shared" si="3"/>
        <v>#DIV/0!</v>
      </c>
    </row>
    <row r="7" spans="1:13" ht="20.100000000000001" customHeight="1" x14ac:dyDescent="0.25">
      <c r="A7" s="46" t="s">
        <v>70</v>
      </c>
      <c r="B7" s="47"/>
      <c r="C7" s="47"/>
      <c r="D7" s="47"/>
      <c r="E7" s="48" t="e">
        <f t="shared" si="0"/>
        <v>#DIV/0!</v>
      </c>
      <c r="F7" s="47"/>
      <c r="G7" s="47"/>
      <c r="H7" s="47"/>
      <c r="I7" s="48" t="e">
        <f t="shared" si="1"/>
        <v>#DIV/0!</v>
      </c>
      <c r="J7" s="47"/>
      <c r="K7" s="47"/>
      <c r="L7" s="48" t="e">
        <f t="shared" si="2"/>
        <v>#DIV/0!</v>
      </c>
      <c r="M7" s="49" t="e">
        <f t="shared" si="3"/>
        <v>#DIV/0!</v>
      </c>
    </row>
    <row r="8" spans="1:13" ht="20.100000000000001" customHeight="1" x14ac:dyDescent="0.25">
      <c r="A8" s="46" t="s">
        <v>71</v>
      </c>
      <c r="B8" s="47"/>
      <c r="C8" s="47"/>
      <c r="D8" s="47"/>
      <c r="E8" s="48" t="e">
        <f t="shared" si="0"/>
        <v>#DIV/0!</v>
      </c>
      <c r="F8" s="47"/>
      <c r="G8" s="47"/>
      <c r="H8" s="47"/>
      <c r="I8" s="48" t="e">
        <f t="shared" si="1"/>
        <v>#DIV/0!</v>
      </c>
      <c r="J8" s="47"/>
      <c r="K8" s="47"/>
      <c r="L8" s="48" t="e">
        <f t="shared" si="2"/>
        <v>#DIV/0!</v>
      </c>
      <c r="M8" s="49" t="e">
        <f t="shared" si="3"/>
        <v>#DIV/0!</v>
      </c>
    </row>
    <row r="9" spans="1:13" ht="20.100000000000001" customHeight="1" x14ac:dyDescent="0.25">
      <c r="A9" s="46" t="s">
        <v>72</v>
      </c>
      <c r="B9" s="47"/>
      <c r="C9" s="47"/>
      <c r="D9" s="47"/>
      <c r="E9" s="48" t="e">
        <f t="shared" si="0"/>
        <v>#DIV/0!</v>
      </c>
      <c r="F9" s="47"/>
      <c r="G9" s="47"/>
      <c r="H9" s="47"/>
      <c r="I9" s="48" t="e">
        <f t="shared" si="1"/>
        <v>#DIV/0!</v>
      </c>
      <c r="J9" s="47"/>
      <c r="K9" s="47"/>
      <c r="L9" s="48" t="e">
        <f t="shared" si="2"/>
        <v>#DIV/0!</v>
      </c>
      <c r="M9" s="49" t="e">
        <f t="shared" si="3"/>
        <v>#DIV/0!</v>
      </c>
    </row>
    <row r="10" spans="1:13" ht="20.100000000000001" customHeight="1" x14ac:dyDescent="0.25">
      <c r="A10" s="46" t="s">
        <v>73</v>
      </c>
      <c r="B10" s="47"/>
      <c r="C10" s="47"/>
      <c r="D10" s="47"/>
      <c r="E10" s="48" t="e">
        <f t="shared" si="0"/>
        <v>#DIV/0!</v>
      </c>
      <c r="F10" s="47"/>
      <c r="G10" s="47"/>
      <c r="H10" s="47"/>
      <c r="I10" s="48" t="e">
        <f t="shared" si="1"/>
        <v>#DIV/0!</v>
      </c>
      <c r="J10" s="47"/>
      <c r="K10" s="47"/>
      <c r="L10" s="48" t="e">
        <f t="shared" si="2"/>
        <v>#DIV/0!</v>
      </c>
      <c r="M10" s="49" t="e">
        <f t="shared" si="3"/>
        <v>#DIV/0!</v>
      </c>
    </row>
    <row r="11" spans="1:13" ht="20.100000000000001" customHeight="1" x14ac:dyDescent="0.25">
      <c r="A11" s="46" t="s">
        <v>74</v>
      </c>
      <c r="B11" s="47"/>
      <c r="C11" s="47"/>
      <c r="D11" s="47"/>
      <c r="E11" s="48" t="e">
        <f t="shared" si="0"/>
        <v>#DIV/0!</v>
      </c>
      <c r="F11" s="47"/>
      <c r="G11" s="47"/>
      <c r="H11" s="47"/>
      <c r="I11" s="48" t="e">
        <f t="shared" si="1"/>
        <v>#DIV/0!</v>
      </c>
      <c r="J11" s="47"/>
      <c r="K11" s="47"/>
      <c r="L11" s="48" t="e">
        <f t="shared" si="2"/>
        <v>#DIV/0!</v>
      </c>
      <c r="M11" s="49" t="e">
        <f t="shared" si="3"/>
        <v>#DIV/0!</v>
      </c>
    </row>
    <row r="12" spans="1:13" ht="20.100000000000001" customHeight="1" x14ac:dyDescent="0.25">
      <c r="A12" s="46" t="s">
        <v>75</v>
      </c>
      <c r="B12" s="47"/>
      <c r="C12" s="47"/>
      <c r="D12" s="47"/>
      <c r="E12" s="48" t="e">
        <f t="shared" si="0"/>
        <v>#DIV/0!</v>
      </c>
      <c r="F12" s="47"/>
      <c r="G12" s="47"/>
      <c r="H12" s="47"/>
      <c r="I12" s="48" t="e">
        <f t="shared" si="1"/>
        <v>#DIV/0!</v>
      </c>
      <c r="J12" s="47"/>
      <c r="K12" s="47"/>
      <c r="L12" s="48" t="e">
        <f t="shared" si="2"/>
        <v>#DIV/0!</v>
      </c>
      <c r="M12" s="49" t="e">
        <f t="shared" si="3"/>
        <v>#DIV/0!</v>
      </c>
    </row>
    <row r="13" spans="1:13" ht="20.100000000000001" customHeight="1" x14ac:dyDescent="0.25">
      <c r="A13" s="46" t="s">
        <v>76</v>
      </c>
      <c r="B13" s="47"/>
      <c r="C13" s="47"/>
      <c r="D13" s="47"/>
      <c r="E13" s="48" t="e">
        <f t="shared" si="0"/>
        <v>#DIV/0!</v>
      </c>
      <c r="F13" s="47"/>
      <c r="G13" s="47"/>
      <c r="H13" s="47"/>
      <c r="I13" s="48" t="e">
        <f t="shared" si="1"/>
        <v>#DIV/0!</v>
      </c>
      <c r="J13" s="47"/>
      <c r="K13" s="47"/>
      <c r="L13" s="48" t="e">
        <f t="shared" si="2"/>
        <v>#DIV/0!</v>
      </c>
      <c r="M13" s="49" t="e">
        <f t="shared" si="3"/>
        <v>#DIV/0!</v>
      </c>
    </row>
    <row r="14" spans="1:13" ht="20.100000000000001" customHeight="1" x14ac:dyDescent="0.25">
      <c r="A14" s="46" t="s">
        <v>77</v>
      </c>
      <c r="B14" s="47"/>
      <c r="C14" s="47"/>
      <c r="D14" s="47"/>
      <c r="E14" s="48" t="e">
        <f t="shared" si="0"/>
        <v>#DIV/0!</v>
      </c>
      <c r="F14" s="47"/>
      <c r="G14" s="47"/>
      <c r="H14" s="47"/>
      <c r="I14" s="48" t="e">
        <f t="shared" si="1"/>
        <v>#DIV/0!</v>
      </c>
      <c r="J14" s="47"/>
      <c r="K14" s="47"/>
      <c r="L14" s="48" t="e">
        <f t="shared" si="2"/>
        <v>#DIV/0!</v>
      </c>
      <c r="M14" s="49" t="e">
        <f t="shared" si="3"/>
        <v>#DIV/0!</v>
      </c>
    </row>
    <row r="15" spans="1:13" ht="20.100000000000001" customHeight="1" x14ac:dyDescent="0.25">
      <c r="A15" s="46" t="s">
        <v>78</v>
      </c>
      <c r="B15" s="47"/>
      <c r="C15" s="47"/>
      <c r="D15" s="47"/>
      <c r="E15" s="48" t="e">
        <f t="shared" si="0"/>
        <v>#DIV/0!</v>
      </c>
      <c r="F15" s="47"/>
      <c r="G15" s="47"/>
      <c r="H15" s="47"/>
      <c r="I15" s="48" t="e">
        <f t="shared" si="1"/>
        <v>#DIV/0!</v>
      </c>
      <c r="J15" s="47"/>
      <c r="K15" s="47"/>
      <c r="L15" s="48" t="e">
        <f t="shared" si="2"/>
        <v>#DIV/0!</v>
      </c>
      <c r="M15" s="49" t="e">
        <f t="shared" si="3"/>
        <v>#DIV/0!</v>
      </c>
    </row>
    <row r="16" spans="1:13" ht="20.100000000000001" customHeight="1" x14ac:dyDescent="0.25">
      <c r="A16" s="46" t="s">
        <v>79</v>
      </c>
      <c r="B16" s="47"/>
      <c r="C16" s="47"/>
      <c r="D16" s="47"/>
      <c r="E16" s="48" t="e">
        <f t="shared" si="0"/>
        <v>#DIV/0!</v>
      </c>
      <c r="F16" s="47"/>
      <c r="G16" s="47"/>
      <c r="H16" s="47"/>
      <c r="I16" s="48" t="e">
        <f t="shared" si="1"/>
        <v>#DIV/0!</v>
      </c>
      <c r="J16" s="47"/>
      <c r="K16" s="47"/>
      <c r="L16" s="48" t="e">
        <f t="shared" si="2"/>
        <v>#DIV/0!</v>
      </c>
      <c r="M16" s="49" t="e">
        <f t="shared" si="3"/>
        <v>#DIV/0!</v>
      </c>
    </row>
    <row r="17" spans="1:13" ht="20.100000000000001" customHeight="1" x14ac:dyDescent="0.25">
      <c r="A17" s="46" t="s">
        <v>80</v>
      </c>
      <c r="B17" s="47"/>
      <c r="C17" s="47"/>
      <c r="D17" s="47"/>
      <c r="E17" s="48" t="e">
        <f t="shared" si="0"/>
        <v>#DIV/0!</v>
      </c>
      <c r="F17" s="47"/>
      <c r="G17" s="47"/>
      <c r="H17" s="47"/>
      <c r="I17" s="48" t="e">
        <f t="shared" si="1"/>
        <v>#DIV/0!</v>
      </c>
      <c r="J17" s="47"/>
      <c r="K17" s="47"/>
      <c r="L17" s="48" t="e">
        <f t="shared" si="2"/>
        <v>#DIV/0!</v>
      </c>
      <c r="M17" s="49" t="e">
        <f t="shared" si="3"/>
        <v>#DIV/0!</v>
      </c>
    </row>
    <row r="18" spans="1:13" ht="20.100000000000001" customHeight="1" x14ac:dyDescent="0.25">
      <c r="A18" s="46" t="s">
        <v>81</v>
      </c>
      <c r="B18" s="47"/>
      <c r="C18" s="47"/>
      <c r="D18" s="47"/>
      <c r="E18" s="48" t="e">
        <f t="shared" si="0"/>
        <v>#DIV/0!</v>
      </c>
      <c r="F18" s="47"/>
      <c r="G18" s="47"/>
      <c r="H18" s="47"/>
      <c r="I18" s="48" t="e">
        <f t="shared" si="1"/>
        <v>#DIV/0!</v>
      </c>
      <c r="J18" s="47"/>
      <c r="K18" s="47"/>
      <c r="L18" s="48" t="e">
        <f t="shared" si="2"/>
        <v>#DIV/0!</v>
      </c>
      <c r="M18" s="49" t="e">
        <f t="shared" si="3"/>
        <v>#DIV/0!</v>
      </c>
    </row>
    <row r="19" spans="1:13" ht="20.100000000000001" customHeight="1" x14ac:dyDescent="0.25">
      <c r="A19" s="46" t="s">
        <v>82</v>
      </c>
      <c r="B19" s="47"/>
      <c r="C19" s="47"/>
      <c r="D19" s="47"/>
      <c r="E19" s="48" t="e">
        <f t="shared" si="0"/>
        <v>#DIV/0!</v>
      </c>
      <c r="F19" s="47"/>
      <c r="G19" s="47"/>
      <c r="H19" s="47"/>
      <c r="I19" s="48" t="e">
        <f t="shared" si="1"/>
        <v>#DIV/0!</v>
      </c>
      <c r="J19" s="47"/>
      <c r="K19" s="47"/>
      <c r="L19" s="48" t="e">
        <f t="shared" si="2"/>
        <v>#DIV/0!</v>
      </c>
      <c r="M19" s="49" t="e">
        <f t="shared" si="3"/>
        <v>#DIV/0!</v>
      </c>
    </row>
    <row r="20" spans="1:13" ht="20.100000000000001" customHeight="1" x14ac:dyDescent="0.25">
      <c r="A20" s="46" t="s">
        <v>83</v>
      </c>
      <c r="B20" s="47"/>
      <c r="C20" s="47"/>
      <c r="D20" s="47"/>
      <c r="E20" s="48" t="e">
        <f t="shared" si="0"/>
        <v>#DIV/0!</v>
      </c>
      <c r="F20" s="47"/>
      <c r="G20" s="47"/>
      <c r="H20" s="47"/>
      <c r="I20" s="48" t="e">
        <f t="shared" si="1"/>
        <v>#DIV/0!</v>
      </c>
      <c r="J20" s="47"/>
      <c r="K20" s="47"/>
      <c r="L20" s="48" t="e">
        <f t="shared" si="2"/>
        <v>#DIV/0!</v>
      </c>
      <c r="M20" s="49" t="e">
        <f t="shared" si="3"/>
        <v>#DIV/0!</v>
      </c>
    </row>
    <row r="21" spans="1:13" ht="20.100000000000001" customHeight="1" x14ac:dyDescent="0.25">
      <c r="A21" s="50" t="s">
        <v>84</v>
      </c>
      <c r="B21" s="51"/>
      <c r="C21" s="51"/>
      <c r="D21" s="51"/>
      <c r="E21" s="52" t="e">
        <f t="shared" si="0"/>
        <v>#DIV/0!</v>
      </c>
      <c r="F21" s="51"/>
      <c r="G21" s="51"/>
      <c r="H21" s="51"/>
      <c r="I21" s="52" t="e">
        <f t="shared" si="1"/>
        <v>#DIV/0!</v>
      </c>
      <c r="J21" s="51"/>
      <c r="K21" s="51"/>
      <c r="L21" s="52" t="e">
        <f t="shared" si="2"/>
        <v>#DIV/0!</v>
      </c>
      <c r="M21" s="53" t="e">
        <f t="shared" si="3"/>
        <v>#DIV/0!</v>
      </c>
    </row>
    <row r="22" spans="1:13" ht="20.100000000000001" customHeight="1" x14ac:dyDescent="0.25">
      <c r="A22" s="35"/>
      <c r="B22" s="35"/>
      <c r="C22" s="35"/>
      <c r="D22" s="35"/>
      <c r="E22" s="35"/>
      <c r="F22" s="35"/>
      <c r="G22" s="35"/>
      <c r="H22" s="35"/>
      <c r="I22" s="35"/>
      <c r="J22" s="35"/>
      <c r="K22" s="35"/>
      <c r="L22" s="35"/>
      <c r="M22" s="35"/>
    </row>
    <row r="23" spans="1:13" ht="20.100000000000001" customHeight="1" x14ac:dyDescent="0.25">
      <c r="A23" s="36" t="s">
        <v>85</v>
      </c>
      <c r="B23" s="36" t="e">
        <f>SUM(M2:M21)</f>
        <v>#DIV/0!</v>
      </c>
      <c r="C23" s="36"/>
      <c r="D23" s="36"/>
      <c r="E23" s="36"/>
      <c r="F23" s="36"/>
      <c r="G23" s="36"/>
      <c r="H23" s="36"/>
      <c r="I23" s="36"/>
      <c r="J23" s="36"/>
      <c r="K23" s="36"/>
      <c r="L23" s="36"/>
      <c r="M23" s="36"/>
    </row>
    <row r="24" spans="1:13" ht="20.100000000000001" customHeight="1" x14ac:dyDescent="0.25">
      <c r="A24" s="37" t="s">
        <v>86</v>
      </c>
      <c r="B24" s="37">
        <f>COUNTA(A2:A21)</f>
        <v>20</v>
      </c>
      <c r="C24" s="38"/>
      <c r="D24" s="38"/>
      <c r="E24" s="38"/>
      <c r="F24" s="38"/>
      <c r="G24" s="38"/>
      <c r="H24" s="38"/>
      <c r="I24" s="38"/>
      <c r="J24" s="38"/>
      <c r="K24" s="38"/>
      <c r="L24" s="38"/>
      <c r="M24"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6"/>
  <sheetViews>
    <sheetView workbookViewId="0">
      <pane xSplit="1" ySplit="6" topLeftCell="B34" activePane="bottomRight" state="frozen"/>
      <selection pane="topRight" activeCell="B1" sqref="B1"/>
      <selection pane="bottomLeft" activeCell="A7" sqref="A7"/>
      <selection pane="bottomRight" activeCell="D74" sqref="D74"/>
    </sheetView>
  </sheetViews>
  <sheetFormatPr defaultRowHeight="15" x14ac:dyDescent="0.25"/>
  <cols>
    <col min="1" max="1" width="9.5703125" customWidth="1"/>
    <col min="2" max="2" width="30.42578125" customWidth="1"/>
    <col min="3" max="3" width="24.7109375" customWidth="1"/>
    <col min="4" max="4" width="22.85546875" customWidth="1"/>
  </cols>
  <sheetData>
    <row r="1" spans="1:4" ht="24" customHeight="1" x14ac:dyDescent="0.25">
      <c r="A1" s="54" t="s">
        <v>87</v>
      </c>
      <c r="B1" s="58">
        <v>1000000</v>
      </c>
      <c r="C1" s="55"/>
      <c r="D1" s="55"/>
    </row>
    <row r="2" spans="1:4" ht="24" customHeight="1" x14ac:dyDescent="0.25">
      <c r="A2" s="56" t="s">
        <v>88</v>
      </c>
      <c r="B2" s="59">
        <v>0.1</v>
      </c>
      <c r="C2" s="35"/>
      <c r="D2" s="35"/>
    </row>
    <row r="3" spans="1:4" ht="24" customHeight="1" x14ac:dyDescent="0.25">
      <c r="A3" s="56" t="s">
        <v>89</v>
      </c>
      <c r="B3" s="59">
        <v>0.99</v>
      </c>
      <c r="C3" s="35"/>
      <c r="D3" s="35"/>
    </row>
    <row r="4" spans="1:4" ht="24" customHeight="1" x14ac:dyDescent="0.25">
      <c r="A4" s="57" t="s">
        <v>90</v>
      </c>
      <c r="B4" s="60">
        <v>50</v>
      </c>
      <c r="C4" s="35"/>
      <c r="D4" s="35"/>
    </row>
    <row r="5" spans="1:4" ht="17.25" x14ac:dyDescent="0.25">
      <c r="A5" s="35"/>
      <c r="B5" s="35"/>
      <c r="C5" s="35"/>
      <c r="D5" s="35"/>
    </row>
    <row r="6" spans="1:4" ht="27.95" customHeight="1" x14ac:dyDescent="0.25">
      <c r="A6" s="61" t="s">
        <v>91</v>
      </c>
      <c r="B6" s="62" t="s">
        <v>92</v>
      </c>
      <c r="C6" s="62" t="s">
        <v>93</v>
      </c>
      <c r="D6" s="63" t="s">
        <v>37</v>
      </c>
    </row>
    <row r="7" spans="1:4" ht="18" customHeight="1" x14ac:dyDescent="0.25">
      <c r="A7" s="64">
        <v>1</v>
      </c>
      <c r="B7" s="65">
        <f t="shared" ref="B7:B38" si="0">$B$2 + (A7-1)*($B$3 - $B$2)/($B$4 - 1)</f>
        <v>0.1</v>
      </c>
      <c r="C7" s="66">
        <f t="shared" ref="C7:C38" si="1">B7*$B$1</f>
        <v>100000</v>
      </c>
      <c r="D7" s="67">
        <f t="shared" ref="D7:D38" si="2">1/($B$1 - C7)</f>
        <v>1.111111111111111E-6</v>
      </c>
    </row>
    <row r="8" spans="1:4" ht="18" customHeight="1" x14ac:dyDescent="0.25">
      <c r="A8" s="64">
        <v>2</v>
      </c>
      <c r="B8" s="68">
        <f t="shared" si="0"/>
        <v>0.11816326530612245</v>
      </c>
      <c r="C8" s="66">
        <f t="shared" si="1"/>
        <v>118163.26530612246</v>
      </c>
      <c r="D8" s="67">
        <f t="shared" si="2"/>
        <v>1.1339967600092572E-6</v>
      </c>
    </row>
    <row r="9" spans="1:4" ht="18" customHeight="1" x14ac:dyDescent="0.25">
      <c r="A9" s="64">
        <v>3</v>
      </c>
      <c r="B9" s="65">
        <f t="shared" si="0"/>
        <v>0.13632653061224489</v>
      </c>
      <c r="C9" s="66">
        <f t="shared" si="1"/>
        <v>136326.53061224488</v>
      </c>
      <c r="D9" s="67">
        <f t="shared" si="2"/>
        <v>1.1578449905482041E-6</v>
      </c>
    </row>
    <row r="10" spans="1:4" ht="18" customHeight="1" x14ac:dyDescent="0.25">
      <c r="A10" s="64">
        <v>4</v>
      </c>
      <c r="B10" s="68">
        <f t="shared" si="0"/>
        <v>0.15448979591836737</v>
      </c>
      <c r="C10" s="66">
        <f t="shared" si="1"/>
        <v>154489.79591836737</v>
      </c>
      <c r="D10" s="67">
        <f t="shared" si="2"/>
        <v>1.1827178373159547E-6</v>
      </c>
    </row>
    <row r="11" spans="1:4" ht="18" customHeight="1" x14ac:dyDescent="0.25">
      <c r="A11" s="64">
        <v>5</v>
      </c>
      <c r="B11" s="65">
        <f t="shared" si="0"/>
        <v>0.17265306122448981</v>
      </c>
      <c r="C11" s="66">
        <f t="shared" si="1"/>
        <v>172653.06122448982</v>
      </c>
      <c r="D11" s="67">
        <f t="shared" si="2"/>
        <v>1.2086827824370993E-6</v>
      </c>
    </row>
    <row r="12" spans="1:4" ht="18" customHeight="1" x14ac:dyDescent="0.25">
      <c r="A12" s="64">
        <v>6</v>
      </c>
      <c r="B12" s="68">
        <f t="shared" si="0"/>
        <v>0.19081632653061226</v>
      </c>
      <c r="C12" s="66">
        <f t="shared" si="1"/>
        <v>190816.32653061225</v>
      </c>
      <c r="D12" s="67">
        <f t="shared" si="2"/>
        <v>1.2358133669609081E-6</v>
      </c>
    </row>
    <row r="13" spans="1:4" ht="18" customHeight="1" x14ac:dyDescent="0.25">
      <c r="A13" s="64">
        <v>7</v>
      </c>
      <c r="B13" s="65">
        <f t="shared" si="0"/>
        <v>0.2089795918367347</v>
      </c>
      <c r="C13" s="66">
        <f t="shared" si="1"/>
        <v>208979.5918367347</v>
      </c>
      <c r="D13" s="67">
        <f t="shared" si="2"/>
        <v>1.2641898864809081E-6</v>
      </c>
    </row>
    <row r="14" spans="1:4" ht="18" customHeight="1" x14ac:dyDescent="0.25">
      <c r="A14" s="64">
        <v>8</v>
      </c>
      <c r="B14" s="68">
        <f t="shared" si="0"/>
        <v>0.22714285714285715</v>
      </c>
      <c r="C14" s="66">
        <f t="shared" si="1"/>
        <v>227142.85714285716</v>
      </c>
      <c r="D14" s="67">
        <f t="shared" si="2"/>
        <v>1.2939001848428836E-6</v>
      </c>
    </row>
    <row r="15" spans="1:4" ht="18" customHeight="1" x14ac:dyDescent="0.25">
      <c r="A15" s="64">
        <v>9</v>
      </c>
      <c r="B15" s="65">
        <f t="shared" si="0"/>
        <v>0.24530612244897959</v>
      </c>
      <c r="C15" s="66">
        <f t="shared" si="1"/>
        <v>245306.12244897959</v>
      </c>
      <c r="D15" s="67">
        <f t="shared" si="2"/>
        <v>1.325040562466198E-6</v>
      </c>
    </row>
    <row r="16" spans="1:4" ht="18" customHeight="1" x14ac:dyDescent="0.25">
      <c r="A16" s="64">
        <v>10</v>
      </c>
      <c r="B16" s="68">
        <f t="shared" si="0"/>
        <v>0.26346938775510204</v>
      </c>
      <c r="C16" s="66">
        <f t="shared" si="1"/>
        <v>263469.38775510201</v>
      </c>
      <c r="D16" s="67">
        <f t="shared" si="2"/>
        <v>1.3577168190634524E-6</v>
      </c>
    </row>
    <row r="17" spans="1:4" ht="18" customHeight="1" x14ac:dyDescent="0.25">
      <c r="A17" s="64">
        <v>11</v>
      </c>
      <c r="B17" s="65">
        <f t="shared" si="0"/>
        <v>0.28163265306122454</v>
      </c>
      <c r="C17" s="66">
        <f t="shared" si="1"/>
        <v>281632.65306122456</v>
      </c>
      <c r="D17" s="67">
        <f t="shared" si="2"/>
        <v>1.3920454545454548E-6</v>
      </c>
    </row>
    <row r="18" spans="1:4" ht="18" customHeight="1" x14ac:dyDescent="0.25">
      <c r="A18" s="64">
        <v>12</v>
      </c>
      <c r="B18" s="68">
        <f t="shared" si="0"/>
        <v>0.29979591836734698</v>
      </c>
      <c r="C18" s="66">
        <f t="shared" si="1"/>
        <v>299795.91836734698</v>
      </c>
      <c r="D18" s="67">
        <f t="shared" si="2"/>
        <v>1.4281550568347422E-6</v>
      </c>
    </row>
    <row r="19" spans="1:4" ht="18" customHeight="1" x14ac:dyDescent="0.25">
      <c r="A19" s="64">
        <v>13</v>
      </c>
      <c r="B19" s="65">
        <f t="shared" si="0"/>
        <v>0.31795918367346943</v>
      </c>
      <c r="C19" s="66">
        <f t="shared" si="1"/>
        <v>317959.18367346941</v>
      </c>
      <c r="D19" s="67">
        <f t="shared" si="2"/>
        <v>1.4661879114302812E-6</v>
      </c>
    </row>
    <row r="20" spans="1:4" ht="18" customHeight="1" x14ac:dyDescent="0.25">
      <c r="A20" s="64">
        <v>14</v>
      </c>
      <c r="B20" s="68">
        <f t="shared" si="0"/>
        <v>0.33612244897959187</v>
      </c>
      <c r="C20" s="66">
        <f t="shared" si="1"/>
        <v>336122.44897959189</v>
      </c>
      <c r="D20" s="67">
        <f t="shared" si="2"/>
        <v>1.5063018751921306E-6</v>
      </c>
    </row>
    <row r="21" spans="1:4" ht="18" customHeight="1" x14ac:dyDescent="0.25">
      <c r="A21" s="64">
        <v>15</v>
      </c>
      <c r="B21" s="65">
        <f t="shared" si="0"/>
        <v>0.35428571428571431</v>
      </c>
      <c r="C21" s="66">
        <f t="shared" si="1"/>
        <v>354285.71428571432</v>
      </c>
      <c r="D21" s="67">
        <f t="shared" si="2"/>
        <v>1.5486725663716816E-6</v>
      </c>
    </row>
    <row r="22" spans="1:4" ht="18" customHeight="1" x14ac:dyDescent="0.25">
      <c r="A22" s="64">
        <v>16</v>
      </c>
      <c r="B22" s="68">
        <f t="shared" si="0"/>
        <v>0.37244897959183676</v>
      </c>
      <c r="C22" s="66">
        <f t="shared" si="1"/>
        <v>372448.97959183675</v>
      </c>
      <c r="D22" s="67">
        <f t="shared" si="2"/>
        <v>1.5934959349593495E-6</v>
      </c>
    </row>
    <row r="23" spans="1:4" ht="18" customHeight="1" x14ac:dyDescent="0.25">
      <c r="A23" s="64">
        <v>17</v>
      </c>
      <c r="B23" s="65">
        <f t="shared" si="0"/>
        <v>0.3906122448979592</v>
      </c>
      <c r="C23" s="66">
        <f t="shared" si="1"/>
        <v>390612.24489795923</v>
      </c>
      <c r="D23" s="67">
        <f t="shared" si="2"/>
        <v>1.6409912926992636E-6</v>
      </c>
    </row>
    <row r="24" spans="1:4" ht="18" customHeight="1" x14ac:dyDescent="0.25">
      <c r="A24" s="64">
        <v>18</v>
      </c>
      <c r="B24" s="68">
        <f t="shared" si="0"/>
        <v>0.40877551020408165</v>
      </c>
      <c r="C24" s="66">
        <f t="shared" si="1"/>
        <v>408775.51020408166</v>
      </c>
      <c r="D24" s="67">
        <f t="shared" si="2"/>
        <v>1.6914049016223679E-6</v>
      </c>
    </row>
    <row r="25" spans="1:4" ht="18" customHeight="1" x14ac:dyDescent="0.25">
      <c r="A25" s="64">
        <v>19</v>
      </c>
      <c r="B25" s="65">
        <f t="shared" si="0"/>
        <v>0.42693877551020409</v>
      </c>
      <c r="C25" s="66">
        <f t="shared" si="1"/>
        <v>426938.77551020408</v>
      </c>
      <c r="D25" s="67">
        <f t="shared" si="2"/>
        <v>1.7450142450142449E-6</v>
      </c>
    </row>
    <row r="26" spans="1:4" ht="18" customHeight="1" x14ac:dyDescent="0.25">
      <c r="A26" s="64">
        <v>20</v>
      </c>
      <c r="B26" s="68">
        <f t="shared" si="0"/>
        <v>0.44510204081632654</v>
      </c>
      <c r="C26" s="66">
        <f t="shared" si="1"/>
        <v>445102.04081632657</v>
      </c>
      <c r="D26" s="67">
        <f t="shared" si="2"/>
        <v>1.8021331371827881E-6</v>
      </c>
    </row>
    <row r="27" spans="1:4" ht="18" customHeight="1" x14ac:dyDescent="0.25">
      <c r="A27" s="64">
        <v>21</v>
      </c>
      <c r="B27" s="65">
        <f t="shared" si="0"/>
        <v>0.46326530612244898</v>
      </c>
      <c r="C27" s="66">
        <f t="shared" si="1"/>
        <v>463265.30612244899</v>
      </c>
      <c r="D27" s="67">
        <f t="shared" si="2"/>
        <v>1.8631178707224336E-6</v>
      </c>
    </row>
    <row r="28" spans="1:4" ht="18" customHeight="1" x14ac:dyDescent="0.25">
      <c r="A28" s="64">
        <v>22</v>
      </c>
      <c r="B28" s="68">
        <f t="shared" si="0"/>
        <v>0.48142857142857143</v>
      </c>
      <c r="C28" s="66">
        <f t="shared" si="1"/>
        <v>481428.57142857142</v>
      </c>
      <c r="D28" s="67">
        <f t="shared" si="2"/>
        <v>1.9283746556473827E-6</v>
      </c>
    </row>
    <row r="29" spans="1:4" ht="18" customHeight="1" x14ac:dyDescent="0.25">
      <c r="A29" s="64">
        <v>23</v>
      </c>
      <c r="B29" s="65">
        <f t="shared" si="0"/>
        <v>0.49959183673469387</v>
      </c>
      <c r="C29" s="66">
        <f t="shared" si="1"/>
        <v>499591.83673469385</v>
      </c>
      <c r="D29" s="67">
        <f t="shared" si="2"/>
        <v>1.9983686786296901E-6</v>
      </c>
    </row>
    <row r="30" spans="1:4" ht="18" customHeight="1" x14ac:dyDescent="0.25">
      <c r="A30" s="64">
        <v>24</v>
      </c>
      <c r="B30" s="68">
        <f t="shared" si="0"/>
        <v>0.51775510204081632</v>
      </c>
      <c r="C30" s="66">
        <f t="shared" si="1"/>
        <v>517755.10204081633</v>
      </c>
      <c r="D30" s="67">
        <f t="shared" si="2"/>
        <v>2.0736352094794754E-6</v>
      </c>
    </row>
    <row r="31" spans="1:4" ht="18" customHeight="1" x14ac:dyDescent="0.25">
      <c r="A31" s="64">
        <v>25</v>
      </c>
      <c r="B31" s="65">
        <f t="shared" si="0"/>
        <v>0.53591836734693876</v>
      </c>
      <c r="C31" s="66">
        <f t="shared" si="1"/>
        <v>535918.36734693882</v>
      </c>
      <c r="D31" s="67">
        <f t="shared" si="2"/>
        <v>2.1547933157431838E-6</v>
      </c>
    </row>
    <row r="32" spans="1:4" ht="18" customHeight="1" x14ac:dyDescent="0.25">
      <c r="A32" s="64">
        <v>26</v>
      </c>
      <c r="B32" s="68">
        <f t="shared" si="0"/>
        <v>0.55408163265306121</v>
      </c>
      <c r="C32" s="66">
        <f t="shared" si="1"/>
        <v>554081.63265306118</v>
      </c>
      <c r="D32" s="67">
        <f t="shared" si="2"/>
        <v>2.2425629290617847E-6</v>
      </c>
    </row>
    <row r="33" spans="1:4" ht="18" customHeight="1" x14ac:dyDescent="0.25">
      <c r="A33" s="64">
        <v>27</v>
      </c>
      <c r="B33" s="65">
        <f t="shared" si="0"/>
        <v>0.57224489795918365</v>
      </c>
      <c r="C33" s="66">
        <f t="shared" si="1"/>
        <v>572244.89795918367</v>
      </c>
      <c r="D33" s="67">
        <f t="shared" si="2"/>
        <v>2.3377862595419847E-6</v>
      </c>
    </row>
    <row r="34" spans="1:4" ht="18" customHeight="1" x14ac:dyDescent="0.25">
      <c r="A34" s="64">
        <v>28</v>
      </c>
      <c r="B34" s="68">
        <f t="shared" si="0"/>
        <v>0.5904081632653061</v>
      </c>
      <c r="C34" s="66">
        <f t="shared" si="1"/>
        <v>590408.16326530615</v>
      </c>
      <c r="D34" s="67">
        <f t="shared" si="2"/>
        <v>2.4414549078226209E-6</v>
      </c>
    </row>
    <row r="35" spans="1:4" ht="18" customHeight="1" x14ac:dyDescent="0.25">
      <c r="A35" s="64">
        <v>29</v>
      </c>
      <c r="B35" s="65">
        <f t="shared" si="0"/>
        <v>0.60857142857142854</v>
      </c>
      <c r="C35" s="66">
        <f t="shared" si="1"/>
        <v>608571.42857142852</v>
      </c>
      <c r="D35" s="67">
        <f t="shared" si="2"/>
        <v>2.5547445255474449E-6</v>
      </c>
    </row>
    <row r="36" spans="1:4" ht="18" customHeight="1" x14ac:dyDescent="0.25">
      <c r="A36" s="64">
        <v>30</v>
      </c>
      <c r="B36" s="68">
        <f t="shared" si="0"/>
        <v>0.62673469387755099</v>
      </c>
      <c r="C36" s="66">
        <f t="shared" si="1"/>
        <v>626734.69387755101</v>
      </c>
      <c r="D36" s="67">
        <f t="shared" si="2"/>
        <v>2.6790595954073263E-6</v>
      </c>
    </row>
    <row r="37" spans="1:4" ht="18" customHeight="1" x14ac:dyDescent="0.25">
      <c r="A37" s="64">
        <v>31</v>
      </c>
      <c r="B37" s="65">
        <f t="shared" si="0"/>
        <v>0.64489795918367343</v>
      </c>
      <c r="C37" s="66">
        <f t="shared" si="1"/>
        <v>644897.95918367337</v>
      </c>
      <c r="D37" s="67">
        <f t="shared" si="2"/>
        <v>2.8160919540229879E-6</v>
      </c>
    </row>
    <row r="38" spans="1:4" ht="18" customHeight="1" x14ac:dyDescent="0.25">
      <c r="A38" s="64">
        <v>32</v>
      </c>
      <c r="B38" s="68">
        <f t="shared" si="0"/>
        <v>0.66306122448979588</v>
      </c>
      <c r="C38" s="66">
        <f t="shared" si="1"/>
        <v>663061.22448979586</v>
      </c>
      <c r="D38" s="67">
        <f t="shared" si="2"/>
        <v>2.967898243488794E-6</v>
      </c>
    </row>
    <row r="39" spans="1:4" ht="18" customHeight="1" x14ac:dyDescent="0.25">
      <c r="A39" s="64">
        <v>33</v>
      </c>
      <c r="B39" s="65">
        <f t="shared" ref="B39:B70" si="3">$B$2 + (A39-1)*($B$3 - $B$2)/($B$4 - 1)</f>
        <v>0.68122448979591832</v>
      </c>
      <c r="C39" s="66">
        <f t="shared" ref="C39:C70" si="4">B39*$B$1</f>
        <v>681224.48979591834</v>
      </c>
      <c r="D39" s="67">
        <f t="shared" ref="D39:D70" si="5">1/($B$1 - C39)</f>
        <v>3.1370038412291932E-6</v>
      </c>
    </row>
    <row r="40" spans="1:4" ht="18" customHeight="1" x14ac:dyDescent="0.25">
      <c r="A40" s="64">
        <v>34</v>
      </c>
      <c r="B40" s="68">
        <f t="shared" si="3"/>
        <v>0.69938775510204076</v>
      </c>
      <c r="C40" s="66">
        <f t="shared" si="4"/>
        <v>699387.75510204071</v>
      </c>
      <c r="D40" s="67">
        <f t="shared" si="5"/>
        <v>3.3265444670739975E-6</v>
      </c>
    </row>
    <row r="41" spans="1:4" ht="18" customHeight="1" x14ac:dyDescent="0.25">
      <c r="A41" s="64">
        <v>35</v>
      </c>
      <c r="B41" s="65">
        <f t="shared" si="3"/>
        <v>0.71755102040816332</v>
      </c>
      <c r="C41" s="66">
        <f t="shared" si="4"/>
        <v>717551.02040816331</v>
      </c>
      <c r="D41" s="67">
        <f t="shared" si="5"/>
        <v>3.5404624277456655E-6</v>
      </c>
    </row>
    <row r="42" spans="1:4" ht="18" customHeight="1" x14ac:dyDescent="0.25">
      <c r="A42" s="64">
        <v>36</v>
      </c>
      <c r="B42" s="68">
        <f t="shared" si="3"/>
        <v>0.73571428571428577</v>
      </c>
      <c r="C42" s="66">
        <f t="shared" si="4"/>
        <v>735714.2857142858</v>
      </c>
      <c r="D42" s="67">
        <f t="shared" si="5"/>
        <v>3.7837837837837848E-6</v>
      </c>
    </row>
    <row r="43" spans="1:4" ht="18" customHeight="1" x14ac:dyDescent="0.25">
      <c r="A43" s="64">
        <v>37</v>
      </c>
      <c r="B43" s="65">
        <f t="shared" si="3"/>
        <v>0.7538775510204081</v>
      </c>
      <c r="C43" s="66">
        <f t="shared" si="4"/>
        <v>753877.55102040805</v>
      </c>
      <c r="D43" s="67">
        <f t="shared" si="5"/>
        <v>4.0630182421227179E-6</v>
      </c>
    </row>
    <row r="44" spans="1:4" ht="18" customHeight="1" x14ac:dyDescent="0.25">
      <c r="A44" s="64">
        <v>38</v>
      </c>
      <c r="B44" s="68">
        <f t="shared" si="3"/>
        <v>0.77204081632653054</v>
      </c>
      <c r="C44" s="66">
        <f t="shared" si="4"/>
        <v>772040.81632653053</v>
      </c>
      <c r="D44" s="67">
        <f t="shared" si="5"/>
        <v>4.3867502238137857E-6</v>
      </c>
    </row>
    <row r="45" spans="1:4" ht="18" customHeight="1" x14ac:dyDescent="0.25">
      <c r="A45" s="64">
        <v>39</v>
      </c>
      <c r="B45" s="65">
        <f t="shared" si="3"/>
        <v>0.7902040816326531</v>
      </c>
      <c r="C45" s="66">
        <f t="shared" si="4"/>
        <v>790204.08163265313</v>
      </c>
      <c r="D45" s="67">
        <f t="shared" si="5"/>
        <v>4.7665369649805464E-6</v>
      </c>
    </row>
    <row r="46" spans="1:4" ht="18" customHeight="1" x14ac:dyDescent="0.25">
      <c r="A46" s="64">
        <v>40</v>
      </c>
      <c r="B46" s="68">
        <f t="shared" si="3"/>
        <v>0.80836734693877554</v>
      </c>
      <c r="C46" s="66">
        <f t="shared" si="4"/>
        <v>808367.3469387755</v>
      </c>
      <c r="D46" s="67">
        <f t="shared" si="5"/>
        <v>5.2183173588924383E-6</v>
      </c>
    </row>
    <row r="47" spans="1:4" ht="18" customHeight="1" x14ac:dyDescent="0.25">
      <c r="A47" s="64">
        <v>41</v>
      </c>
      <c r="B47" s="65">
        <f t="shared" si="3"/>
        <v>0.82653061224489799</v>
      </c>
      <c r="C47" s="66">
        <f t="shared" si="4"/>
        <v>826530.61224489799</v>
      </c>
      <c r="D47" s="67">
        <f t="shared" si="5"/>
        <v>5.7647058823529425E-6</v>
      </c>
    </row>
    <row r="48" spans="1:4" ht="18" customHeight="1" x14ac:dyDescent="0.25">
      <c r="A48" s="64">
        <v>42</v>
      </c>
      <c r="B48" s="68">
        <f t="shared" si="3"/>
        <v>0.84469387755102043</v>
      </c>
      <c r="C48" s="66">
        <f t="shared" si="4"/>
        <v>844693.87755102047</v>
      </c>
      <c r="D48" s="67">
        <f t="shared" si="5"/>
        <v>6.4388961892247068E-6</v>
      </c>
    </row>
    <row r="49" spans="1:4" ht="18" customHeight="1" x14ac:dyDescent="0.25">
      <c r="A49" s="64">
        <v>43</v>
      </c>
      <c r="B49" s="65">
        <f t="shared" si="3"/>
        <v>0.86285714285714288</v>
      </c>
      <c r="C49" s="66">
        <f t="shared" si="4"/>
        <v>862857.14285714284</v>
      </c>
      <c r="D49" s="67">
        <f t="shared" si="5"/>
        <v>7.2916666666666657E-6</v>
      </c>
    </row>
    <row r="50" spans="1:4" ht="18" customHeight="1" x14ac:dyDescent="0.25">
      <c r="A50" s="64">
        <v>44</v>
      </c>
      <c r="B50" s="68">
        <f t="shared" si="3"/>
        <v>0.88102040816326532</v>
      </c>
      <c r="C50" s="66">
        <f t="shared" si="4"/>
        <v>881020.40816326533</v>
      </c>
      <c r="D50" s="67">
        <f t="shared" si="5"/>
        <v>8.4048027444253869E-6</v>
      </c>
    </row>
    <row r="51" spans="1:4" ht="18" customHeight="1" x14ac:dyDescent="0.25">
      <c r="A51" s="64">
        <v>45</v>
      </c>
      <c r="B51" s="65">
        <f t="shared" si="3"/>
        <v>0.89918367346938777</v>
      </c>
      <c r="C51" s="66">
        <f t="shared" si="4"/>
        <v>899183.67346938781</v>
      </c>
      <c r="D51" s="67">
        <f t="shared" si="5"/>
        <v>9.9190283400809765E-6</v>
      </c>
    </row>
    <row r="52" spans="1:4" ht="18" customHeight="1" x14ac:dyDescent="0.25">
      <c r="A52" s="64">
        <v>46</v>
      </c>
      <c r="B52" s="68">
        <f t="shared" si="3"/>
        <v>0.9173469387755101</v>
      </c>
      <c r="C52" s="66">
        <f t="shared" si="4"/>
        <v>917346.93877551006</v>
      </c>
      <c r="D52" s="67">
        <f t="shared" si="5"/>
        <v>1.2098765432098745E-5</v>
      </c>
    </row>
    <row r="53" spans="1:4" ht="18" customHeight="1" x14ac:dyDescent="0.25">
      <c r="A53" s="64">
        <v>47</v>
      </c>
      <c r="B53" s="65">
        <f t="shared" si="3"/>
        <v>0.93551020408163255</v>
      </c>
      <c r="C53" s="66">
        <f t="shared" si="4"/>
        <v>935510.20408163255</v>
      </c>
      <c r="D53" s="67">
        <f t="shared" si="5"/>
        <v>1.5506329113924024E-5</v>
      </c>
    </row>
    <row r="54" spans="1:4" ht="18" customHeight="1" x14ac:dyDescent="0.25">
      <c r="A54" s="64">
        <v>48</v>
      </c>
      <c r="B54" s="68">
        <f t="shared" si="3"/>
        <v>0.95367346938775499</v>
      </c>
      <c r="C54" s="66">
        <f t="shared" si="4"/>
        <v>953673.46938775503</v>
      </c>
      <c r="D54" s="67">
        <f t="shared" si="5"/>
        <v>2.1585903083700409E-5</v>
      </c>
    </row>
    <row r="55" spans="1:4" ht="18" customHeight="1" x14ac:dyDescent="0.25">
      <c r="A55" s="64">
        <v>49</v>
      </c>
      <c r="B55" s="65">
        <f t="shared" si="3"/>
        <v>0.97183673469387755</v>
      </c>
      <c r="C55" s="66">
        <f t="shared" si="4"/>
        <v>971836.73469387752</v>
      </c>
      <c r="D55" s="67">
        <f t="shared" si="5"/>
        <v>3.5507246376811548E-5</v>
      </c>
    </row>
    <row r="56" spans="1:4" ht="18" customHeight="1" x14ac:dyDescent="0.25">
      <c r="A56" s="69">
        <v>50</v>
      </c>
      <c r="B56" s="70">
        <f t="shared" si="3"/>
        <v>0.99</v>
      </c>
      <c r="C56" s="71">
        <f t="shared" si="4"/>
        <v>990000</v>
      </c>
      <c r="D56" s="72">
        <f t="shared" si="5"/>
        <v>1E-4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tabSelected="1" workbookViewId="0">
      <pane ySplit="1" topLeftCell="A2" activePane="bottomLeft" state="frozen"/>
      <selection pane="bottomLeft"/>
    </sheetView>
  </sheetViews>
  <sheetFormatPr defaultRowHeight="15" x14ac:dyDescent="0.25"/>
  <cols>
    <col min="1" max="1" width="15.28515625" customWidth="1"/>
    <col min="2" max="2" width="22.85546875" customWidth="1"/>
    <col min="3" max="3" width="5.7109375" customWidth="1"/>
    <col min="4" max="4" width="22.85546875" customWidth="1"/>
    <col min="5" max="5" width="26.7109375" customWidth="1"/>
  </cols>
  <sheetData>
    <row r="1" spans="1:5" ht="27.95" customHeight="1" x14ac:dyDescent="0.25">
      <c r="A1" s="73" t="s">
        <v>63</v>
      </c>
      <c r="B1" s="74" t="s">
        <v>94</v>
      </c>
      <c r="C1" s="75"/>
      <c r="D1" s="73" t="s">
        <v>95</v>
      </c>
      <c r="E1" s="74" t="s">
        <v>96</v>
      </c>
    </row>
    <row r="2" spans="1:5" ht="20.100000000000001" customHeight="1" x14ac:dyDescent="0.25">
      <c r="A2" s="39" t="str">
        <f>Pipeline_Model!A2</f>
        <v>Layer 1</v>
      </c>
      <c r="B2" s="76" t="e">
        <f>Pipeline_Model!M2</f>
        <v>#DIV/0!</v>
      </c>
      <c r="C2" s="35"/>
      <c r="D2" s="78">
        <v>1</v>
      </c>
      <c r="E2" s="40" t="e">
        <f>SUM(Pipeline_Model!$M$2:INDEX(Pipeline_Model!$M$2:$M$21,D2))</f>
        <v>#DIV/0!</v>
      </c>
    </row>
    <row r="3" spans="1:5" ht="20.100000000000001" customHeight="1" x14ac:dyDescent="0.25">
      <c r="A3" s="39" t="str">
        <f>Pipeline_Model!A3</f>
        <v>Layer 2</v>
      </c>
      <c r="B3" s="76" t="e">
        <f>Pipeline_Model!M3</f>
        <v>#DIV/0!</v>
      </c>
      <c r="C3" s="35"/>
      <c r="D3" s="79">
        <v>2</v>
      </c>
      <c r="E3" s="40" t="e">
        <f>SUM(Pipeline_Model!$M$2:INDEX(Pipeline_Model!$M$2:$M$21,D3))</f>
        <v>#DIV/0!</v>
      </c>
    </row>
    <row r="4" spans="1:5" ht="20.100000000000001" customHeight="1" x14ac:dyDescent="0.25">
      <c r="A4" s="39" t="str">
        <f>Pipeline_Model!A4</f>
        <v>Layer 3</v>
      </c>
      <c r="B4" s="76" t="e">
        <f>Pipeline_Model!M4</f>
        <v>#DIV/0!</v>
      </c>
      <c r="C4" s="35"/>
      <c r="D4" s="78">
        <v>3</v>
      </c>
      <c r="E4" s="40" t="e">
        <f>SUM(Pipeline_Model!$M$2:INDEX(Pipeline_Model!$M$2:$M$21,D4))</f>
        <v>#DIV/0!</v>
      </c>
    </row>
    <row r="5" spans="1:5" ht="20.100000000000001" customHeight="1" x14ac:dyDescent="0.25">
      <c r="A5" s="39" t="str">
        <f>Pipeline_Model!A5</f>
        <v>Layer 4</v>
      </c>
      <c r="B5" s="76" t="e">
        <f>Pipeline_Model!M5</f>
        <v>#DIV/0!</v>
      </c>
      <c r="C5" s="35"/>
      <c r="D5" s="79">
        <v>4</v>
      </c>
      <c r="E5" s="40" t="e">
        <f>SUM(Pipeline_Model!$M$2:INDEX(Pipeline_Model!$M$2:$M$21,D5))</f>
        <v>#DIV/0!</v>
      </c>
    </row>
    <row r="6" spans="1:5" ht="20.100000000000001" customHeight="1" x14ac:dyDescent="0.25">
      <c r="A6" s="39" t="str">
        <f>Pipeline_Model!A6</f>
        <v>Layer 5</v>
      </c>
      <c r="B6" s="76" t="e">
        <f>Pipeline_Model!M6</f>
        <v>#DIV/0!</v>
      </c>
      <c r="C6" s="35"/>
      <c r="D6" s="78">
        <v>5</v>
      </c>
      <c r="E6" s="40" t="e">
        <f>SUM(Pipeline_Model!$M$2:INDEX(Pipeline_Model!$M$2:$M$21,D6))</f>
        <v>#DIV/0!</v>
      </c>
    </row>
    <row r="7" spans="1:5" ht="20.100000000000001" customHeight="1" x14ac:dyDescent="0.25">
      <c r="A7" s="39" t="str">
        <f>Pipeline_Model!A7</f>
        <v>Layer 6</v>
      </c>
      <c r="B7" s="76" t="e">
        <f>Pipeline_Model!M7</f>
        <v>#DIV/0!</v>
      </c>
      <c r="C7" s="35"/>
      <c r="D7" s="79">
        <v>6</v>
      </c>
      <c r="E7" s="40" t="e">
        <f>SUM(Pipeline_Model!$M$2:INDEX(Pipeline_Model!$M$2:$M$21,D7))</f>
        <v>#DIV/0!</v>
      </c>
    </row>
    <row r="8" spans="1:5" ht="20.100000000000001" customHeight="1" x14ac:dyDescent="0.25">
      <c r="A8" s="39" t="str">
        <f>Pipeline_Model!A8</f>
        <v>Layer 7</v>
      </c>
      <c r="B8" s="76" t="e">
        <f>Pipeline_Model!M8</f>
        <v>#DIV/0!</v>
      </c>
      <c r="C8" s="35"/>
      <c r="D8" s="78">
        <v>7</v>
      </c>
      <c r="E8" s="40" t="e">
        <f>SUM(Pipeline_Model!$M$2:INDEX(Pipeline_Model!$M$2:$M$21,D8))</f>
        <v>#DIV/0!</v>
      </c>
    </row>
    <row r="9" spans="1:5" ht="20.100000000000001" customHeight="1" x14ac:dyDescent="0.25">
      <c r="A9" s="39" t="str">
        <f>Pipeline_Model!A9</f>
        <v>Layer 8</v>
      </c>
      <c r="B9" s="76" t="e">
        <f>Pipeline_Model!M9</f>
        <v>#DIV/0!</v>
      </c>
      <c r="C9" s="35"/>
      <c r="D9" s="79">
        <v>8</v>
      </c>
      <c r="E9" s="40" t="e">
        <f>SUM(Pipeline_Model!$M$2:INDEX(Pipeline_Model!$M$2:$M$21,D9))</f>
        <v>#DIV/0!</v>
      </c>
    </row>
    <row r="10" spans="1:5" ht="20.100000000000001" customHeight="1" x14ac:dyDescent="0.25">
      <c r="A10" s="39" t="str">
        <f>Pipeline_Model!A10</f>
        <v>Layer 9</v>
      </c>
      <c r="B10" s="76" t="e">
        <f>Pipeline_Model!M10</f>
        <v>#DIV/0!</v>
      </c>
      <c r="C10" s="35"/>
      <c r="D10" s="78">
        <v>9</v>
      </c>
      <c r="E10" s="40" t="e">
        <f>SUM(Pipeline_Model!$M$2:INDEX(Pipeline_Model!$M$2:$M$21,D10))</f>
        <v>#DIV/0!</v>
      </c>
    </row>
    <row r="11" spans="1:5" ht="20.100000000000001" customHeight="1" x14ac:dyDescent="0.25">
      <c r="A11" s="39" t="str">
        <f>Pipeline_Model!A11</f>
        <v>Layer 10</v>
      </c>
      <c r="B11" s="76" t="e">
        <f>Pipeline_Model!M11</f>
        <v>#DIV/0!</v>
      </c>
      <c r="C11" s="35"/>
      <c r="D11" s="79">
        <v>10</v>
      </c>
      <c r="E11" s="40" t="e">
        <f>SUM(Pipeline_Model!$M$2:INDEX(Pipeline_Model!$M$2:$M$21,D11))</f>
        <v>#DIV/0!</v>
      </c>
    </row>
    <row r="12" spans="1:5" ht="20.100000000000001" customHeight="1" x14ac:dyDescent="0.25">
      <c r="A12" s="39" t="str">
        <f>Pipeline_Model!A12</f>
        <v>Layer 11</v>
      </c>
      <c r="B12" s="76" t="e">
        <f>Pipeline_Model!M12</f>
        <v>#DIV/0!</v>
      </c>
      <c r="C12" s="35"/>
      <c r="D12" s="78">
        <v>11</v>
      </c>
      <c r="E12" s="40" t="e">
        <f>SUM(Pipeline_Model!$M$2:INDEX(Pipeline_Model!$M$2:$M$21,D12))</f>
        <v>#DIV/0!</v>
      </c>
    </row>
    <row r="13" spans="1:5" ht="20.100000000000001" customHeight="1" x14ac:dyDescent="0.25">
      <c r="A13" s="39" t="str">
        <f>Pipeline_Model!A13</f>
        <v>Layer 12</v>
      </c>
      <c r="B13" s="76" t="e">
        <f>Pipeline_Model!M13</f>
        <v>#DIV/0!</v>
      </c>
      <c r="C13" s="35"/>
      <c r="D13" s="79">
        <v>12</v>
      </c>
      <c r="E13" s="40" t="e">
        <f>SUM(Pipeline_Model!$M$2:INDEX(Pipeline_Model!$M$2:$M$21,D13))</f>
        <v>#DIV/0!</v>
      </c>
    </row>
    <row r="14" spans="1:5" ht="20.100000000000001" customHeight="1" x14ac:dyDescent="0.25">
      <c r="A14" s="39" t="str">
        <f>Pipeline_Model!A14</f>
        <v>Layer 13</v>
      </c>
      <c r="B14" s="76" t="e">
        <f>Pipeline_Model!M14</f>
        <v>#DIV/0!</v>
      </c>
      <c r="C14" s="35"/>
      <c r="D14" s="78">
        <v>13</v>
      </c>
      <c r="E14" s="40" t="e">
        <f>SUM(Pipeline_Model!$M$2:INDEX(Pipeline_Model!$M$2:$M$21,D14))</f>
        <v>#DIV/0!</v>
      </c>
    </row>
    <row r="15" spans="1:5" ht="20.100000000000001" customHeight="1" x14ac:dyDescent="0.25">
      <c r="A15" s="39" t="str">
        <f>Pipeline_Model!A15</f>
        <v>Layer 14</v>
      </c>
      <c r="B15" s="76" t="e">
        <f>Pipeline_Model!M15</f>
        <v>#DIV/0!</v>
      </c>
      <c r="C15" s="35"/>
      <c r="D15" s="79">
        <v>14</v>
      </c>
      <c r="E15" s="40" t="e">
        <f>SUM(Pipeline_Model!$M$2:INDEX(Pipeline_Model!$M$2:$M$21,D15))</f>
        <v>#DIV/0!</v>
      </c>
    </row>
    <row r="16" spans="1:5" ht="20.100000000000001" customHeight="1" x14ac:dyDescent="0.25">
      <c r="A16" s="39" t="str">
        <f>Pipeline_Model!A16</f>
        <v>Layer 15</v>
      </c>
      <c r="B16" s="76" t="e">
        <f>Pipeline_Model!M16</f>
        <v>#DIV/0!</v>
      </c>
      <c r="C16" s="35"/>
      <c r="D16" s="78">
        <v>15</v>
      </c>
      <c r="E16" s="40" t="e">
        <f>SUM(Pipeline_Model!$M$2:INDEX(Pipeline_Model!$M$2:$M$21,D16))</f>
        <v>#DIV/0!</v>
      </c>
    </row>
    <row r="17" spans="1:5" ht="20.100000000000001" customHeight="1" x14ac:dyDescent="0.25">
      <c r="A17" s="39" t="str">
        <f>Pipeline_Model!A17</f>
        <v>Layer 16</v>
      </c>
      <c r="B17" s="76" t="e">
        <f>Pipeline_Model!M17</f>
        <v>#DIV/0!</v>
      </c>
      <c r="C17" s="35"/>
      <c r="D17" s="79">
        <v>16</v>
      </c>
      <c r="E17" s="40" t="e">
        <f>SUM(Pipeline_Model!$M$2:INDEX(Pipeline_Model!$M$2:$M$21,D17))</f>
        <v>#DIV/0!</v>
      </c>
    </row>
    <row r="18" spans="1:5" ht="20.100000000000001" customHeight="1" x14ac:dyDescent="0.25">
      <c r="A18" s="39" t="str">
        <f>Pipeline_Model!A18</f>
        <v>Layer 17</v>
      </c>
      <c r="B18" s="76" t="e">
        <f>Pipeline_Model!M18</f>
        <v>#DIV/0!</v>
      </c>
      <c r="C18" s="35"/>
      <c r="D18" s="78">
        <v>17</v>
      </c>
      <c r="E18" s="40" t="e">
        <f>SUM(Pipeline_Model!$M$2:INDEX(Pipeline_Model!$M$2:$M$21,D18))</f>
        <v>#DIV/0!</v>
      </c>
    </row>
    <row r="19" spans="1:5" ht="20.100000000000001" customHeight="1" x14ac:dyDescent="0.25">
      <c r="A19" s="39" t="str">
        <f>Pipeline_Model!A19</f>
        <v>Layer 18</v>
      </c>
      <c r="B19" s="76" t="e">
        <f>Pipeline_Model!M19</f>
        <v>#DIV/0!</v>
      </c>
      <c r="C19" s="35"/>
      <c r="D19" s="79">
        <v>18</v>
      </c>
      <c r="E19" s="40" t="e">
        <f>SUM(Pipeline_Model!$M$2:INDEX(Pipeline_Model!$M$2:$M$21,D19))</f>
        <v>#DIV/0!</v>
      </c>
    </row>
    <row r="20" spans="1:5" ht="20.100000000000001" customHeight="1" x14ac:dyDescent="0.25">
      <c r="A20" s="39" t="str">
        <f>Pipeline_Model!A20</f>
        <v>Layer 19</v>
      </c>
      <c r="B20" s="76" t="e">
        <f>Pipeline_Model!M20</f>
        <v>#DIV/0!</v>
      </c>
      <c r="C20" s="35"/>
      <c r="D20" s="78">
        <v>19</v>
      </c>
      <c r="E20" s="40" t="e">
        <f>SUM(Pipeline_Model!$M$2:INDEX(Pipeline_Model!$M$2:$M$21,D20))</f>
        <v>#DIV/0!</v>
      </c>
    </row>
    <row r="21" spans="1:5" ht="20.100000000000001" customHeight="1" x14ac:dyDescent="0.25">
      <c r="A21" s="41" t="str">
        <f>Pipeline_Model!A21</f>
        <v>Layer 20</v>
      </c>
      <c r="B21" s="77" t="e">
        <f>Pipeline_Model!M21</f>
        <v>#DIV/0!</v>
      </c>
      <c r="C21" s="35"/>
      <c r="D21" s="80">
        <v>20</v>
      </c>
      <c r="E21" s="42" t="e">
        <f>SUM(Pipeline_Model!$M$2:INDEX(Pipeline_Model!$M$2:$M$21,D21))</f>
        <v>#DIV/0!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 FIRST</vt:lpstr>
      <vt:lpstr>Latency Calculator</vt:lpstr>
      <vt:lpstr>Model Explanations</vt:lpstr>
      <vt:lpstr>Pipeline_Model</vt:lpstr>
      <vt:lpstr>Queue_Stress_Test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Phil S</cp:lastModifiedBy>
  <dcterms:created xsi:type="dcterms:W3CDTF">2026-04-07T05:21:51Z</dcterms:created>
  <dcterms:modified xsi:type="dcterms:W3CDTF">2026-04-09T04:25:15Z</dcterms:modified>
</cp:coreProperties>
</file>